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5a61fccf44e04410" /></Relationships>
</file>

<file path=xl/workbook.xml><?xml version="1.0" encoding="utf-8"?>
<x:workbook xmlns:x="http://schemas.openxmlformats.org/spreadsheetml/2006/main">
  <x:sheets>
    <x:sheet xmlns:r="http://schemas.openxmlformats.org/officeDocument/2006/relationships" name="Test Cases" sheetId="1" r:id="R94bb8817dfd84fc9"/>
    <x:sheet xmlns:r="http://schemas.openxmlformats.org/officeDocument/2006/relationships" name="Summary" sheetId="2" r:id="Rf5a22ff7eb6c45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6"/>
      <x:color rgb="FFFFFFFF"/>
      <x:name val="Carlito"/>
    </x:font>
    <x:font>
      <x:i/>
      <x:sz val="10"/>
      <x:color rgb="FF1F2937"/>
      <x:name val="Carlito"/>
    </x:font>
    <x:font>
      <x:b/>
      <x:sz val="11"/>
      <x:color rgb="FFFFFFFF"/>
      <x:name val="Carlito"/>
    </x:font>
    <x:font>
      <x:sz val="11"/>
      <x:color rgb="FF7F6000"/>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2F75B5"/>
      </x:patternFill>
    </x:fill>
    <x:fill>
      <x:patternFill patternType="solid">
        <x:fgColor rgb="FFFFF2CC"/>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cellXfs>
  <x:cellStyles count="1">
    <x:cellStyle name="Normal" xfId="0"/>
  </x:cellStyles>
  <x:dxfs count="16">
    <x:dxf>
      <x:font>
        <x:b/>
        <x:color rgb="FF274E13"/>
      </x:font>
      <x:fill>
        <x:patternFill>
          <x:bgColor rgb="FFD9EAD3"/>
        </x:patternFill>
      </x:fill>
    </x:dxf>
    <x:dxf>
      <x:font>
        <x:b/>
        <x:color rgb="FF990000"/>
      </x:font>
      <x:fill>
        <x:patternFill>
          <x:bgColor rgb="FFF4CCCC"/>
        </x:patternFill>
      </x:fill>
    </x:dxf>
    <x:dxf>
      <x:font>
        <x:b/>
        <x:color rgb="FF783F04"/>
      </x:font>
      <x:fill>
        <x:patternFill>
          <x:bgColor rgb="FFFCE5CD"/>
        </x:patternFill>
      </x:fill>
    </x:dxf>
    <x:dxf>
      <x:font>
        <x:color rgb="FF595959"/>
      </x:font>
      <x:fill>
        <x:patternFill>
          <x:bgColor rgb="FFE7E6E6"/>
        </x:patternFill>
      </x:fill>
    </x:dxf>
    <x:dxf>
      <x:font>
        <x:b/>
        <x:color rgb="FF990000"/>
      </x:font>
      <x:fill>
        <x:patternFill>
          <x:bgColor rgb="FFF4CCCC"/>
        </x:patternFill>
      </x:fill>
    </x:dxf>
    <x:dxf>
      <x:font>
        <x:b/>
        <x:color rgb="FF783F04"/>
      </x:font>
      <x:fill>
        <x:patternFill>
          <x:bgColor rgb="FFFCE5CD"/>
        </x:patternFill>
      </x:fill>
    </x:dxf>
    <x:dxf>
      <x:font>
        <x:color rgb="FF7F6000"/>
      </x:font>
      <x:fill>
        <x:patternFill>
          <x:bgColor rgb="FFFFF2CC"/>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color rgb="FF374151"/>
      </x:font>
      <x:fill>
        <x:patternFill>
          <x:bgColor rgb="FFE5E7EB"/>
        </x:patternFill>
      </x:fill>
    </x:dxf>
    <x:dxf>
      <x:font>
        <x:b/>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8db9ebe2e84466" /><Relationship Type="http://schemas.openxmlformats.org/officeDocument/2006/relationships/theme" Target="/xl/theme/theme1.xml" Id="Rac8ae81c05874ff2" /><Relationship Type="http://schemas.openxmlformats.org/officeDocument/2006/relationships/sharedStrings" Target="/xl/sharedStrings.xml" Id="R7a0151b01bb443dd" /><Relationship Type="http://schemas.openxmlformats.org/officeDocument/2006/relationships/worksheet" Target="/xl/worksheets/sheet1.xml" Id="R94bb8817dfd84fc9" /><Relationship Type="http://schemas.openxmlformats.org/officeDocument/2006/relationships/worksheet" Target="/xl/worksheets/sheet2.xml" Id="Rf5a22ff7eb6c455f" /></Relationships>
</file>

<file path=xl/drawings/_rels/drawing1.xml.rels>&#65279;<?xml version="1.0" encoding="utf-8"?><Relationships xmlns="http://schemas.openxmlformats.org/package/2006/relationships"><Relationship Type="http://schemas.openxmlformats.org/officeDocument/2006/relationships/chart" Target="/xl/drawings/charts/chart1.xml" Id="Rb2ad9f97da99473e" /><Relationship Type="http://schemas.openxmlformats.org/officeDocument/2006/relationships/chart" Target="/xl/drawings/charts/chart2.xml" Id="R38ceb74d37124cc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Test Execution Status</a:t>
            </a:r>
          </a:p>
        </c:rich>
      </c:tx>
    </c:title>
    <c:plotArea>
      <c:barChart>
        <c:barDir val="col"/>
        <c:grouping val="clustered"/>
        <c:varyColors val="0"/>
        <c:ser>
          <c:idx val="0"/>
          <c:order val="0"/>
          <c:tx>
            <c:v>Series 1</c:v>
          </c:tx>
          <c:cat>
            <c:strRef>
              <c:f>'Summary'!$A$4:$A$8</c:f>
              <c:strCache>
                <c:ptCount val="0"/>
              </c:strCache>
            </c:strRef>
          </c:cat>
          <c:val>
            <c:numRef>
              <c:f>'Summary'!$B$4:$B$8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Module Test Coverage</a:t>
            </a:r>
          </a:p>
        </c:rich>
      </c:tx>
    </c:title>
    <c:plotArea>
      <c:barChart>
        <c:barDir val="col"/>
        <c:varyColors val="0"/>
        <c:ser>
          <c:idx val="0"/>
          <c:order val="0"/>
          <c:tx>
            <c:v>Total Cases</c:v>
          </c:tx>
          <c:cat>
            <c:strRef>
              <c:f>'Summary'!$A$14:$A$25</c:f>
              <c:strCache>
                <c:ptCount val="0"/>
              </c:strCache>
            </c:strRef>
          </c:cat>
          <c:val>
            <c:numRef>
              <c:f>'Summary'!$B$14:$B$25</c:f>
              <c:numCache>
                <c:formatCode>General</c:formatCode>
                <c:ptCount val="0"/>
              </c:numCache>
            </c:numRef>
          </c:val>
        </c:ser>
        <c:ser>
          <c:idx val="1"/>
          <c:order val="1"/>
          <c:tx>
            <c:v>Executed Cases</c:v>
          </c:tx>
          <c:cat>
            <c:strRef>
              <c:f>'Summary'!$A$14:$A$25</c:f>
              <c:strCache>
                <c:ptCount val="0"/>
              </c:strCache>
            </c:strRef>
          </c:cat>
          <c:val>
            <c:numRef>
              <c:f>'Summary'!$C$14:$C$25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xdr:row>
      <xdr:rowOff>0</xdr:rowOff>
    </xdr:from>
    <xdr:to>
      <xdr:col>8</xdr:col>
      <xdr:colOff>0</xdr:colOff>
      <xdr:row>11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ad9f97da99473e"/>
        </a:graphicData>
      </a:graphic>
    </xdr:graphicFrame>
    <xdr:clientData/>
  </xdr:twoCellAnchor>
  <xdr:twoCellAnchor>
    <xdr:from>
      <xdr:col>3</xdr:col>
      <xdr:colOff>0</xdr:colOff>
      <xdr:row>19</xdr:row>
      <xdr:rowOff>0</xdr:rowOff>
    </xdr:from>
    <xdr:to>
      <xdr:col>11</xdr:col>
      <xdr:colOff>0</xdr:colOff>
      <xdr:row>38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ceb74d37124cc8"/>
        </a:graphicData>
      </a:graphic>
    </xdr:graphicFrame>
    <xdr:clientData/>
  </xdr:twoCellAnchor>
</xdr:wsDr>
</file>

<file path=xl/tables/table1.xml><?xml version="1.0" encoding="utf-8"?>
<x:table xmlns:x="http://schemas.openxmlformats.org/spreadsheetml/2006/main" id="1" name="TestCasesTable" displayName="TestCasesTable" ref="A4:M82" headerRowCount="1" totalsRowCount="0" totalsRowShown="0">
  <x:tableColumns count="13">
    <x:tableColumn id="1" name="Test Case ID"/>
    <x:tableColumn id="2" name="Scenario ID"/>
    <x:tableColumn id="3" name="Module"/>
    <x:tableColumn id="4" name="Preconditions"/>
    <x:tableColumn id="5" name="Test Steps"/>
    <x:tableColumn id="6" name="Test Data"/>
    <x:tableColumn id="7" name="Expected Result"/>
    <x:tableColumn id="8" name="Actual Result"/>
    <x:tableColumn id="9" name="Status"/>
    <x:tableColumn id="10" name="Test Type"/>
    <x:tableColumn id="11" name="Priority"/>
    <x:tableColumn id="12" name="Evidence"/>
    <x:tableColumn id="13"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6dde9b763d4b9b" /></Relationships>
</file>

<file path=xl/worksheets/_rels/sheet2.xml.rels>&#65279;<?xml version="1.0" encoding="utf-8"?><Relationships xmlns="http://schemas.openxmlformats.org/package/2006/relationships"><Relationship Type="http://schemas.openxmlformats.org/officeDocument/2006/relationships/drawing" Target="/xl/drawings/drawing1.xml" Id="R26c15b3985c94588"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20" hidden="0" customWidth="1"/>
    <x:col min="4" max="4" width="38" hidden="0" customWidth="1"/>
    <x:col min="5" max="5" width="48" hidden="0" customWidth="1"/>
    <x:col min="6" max="6" width="30" hidden="0" customWidth="1"/>
    <x:col min="7" max="7" width="42" hidden="0" customWidth="1"/>
    <x:col min="8" max="8" width="38" hidden="0" customWidth="1"/>
    <x:col min="9" max="9" width="16" hidden="0" customWidth="1"/>
    <x:col min="10" max="10" width="18" hidden="0" customWidth="1"/>
    <x:col min="11" max="11" width="12" hidden="0" customWidth="1"/>
    <x:col min="12" max="12" width="26" hidden="0" customWidth="1"/>
    <x:col min="13" max="13" width="34" hidden="0" customWidth="1"/>
  </x:cols>
  <x:sheetData>
    <x:row r="1" ht="28" customHeight="1">
      <x:c r="A1" s="5" t="str">
        <x:v>Toko Abunawas - Software QA Test Cases</x:v>
      </x:c>
      <x:c r="B1" s="5"/>
      <x:c r="C1" s="5"/>
      <x:c r="D1" s="5"/>
      <x:c r="E1" s="5"/>
      <x:c r="F1" s="5"/>
      <x:c r="G1" s="5"/>
      <x:c r="H1" s="5"/>
      <x:c r="I1" s="5"/>
      <x:c r="J1" s="5"/>
      <x:c r="K1" s="5"/>
      <x:c r="L1" s="5"/>
      <x:c r="M1" s="5"/>
    </x:row>
    <x:row r="2" ht="22" customHeight="1">
      <x:c r="A2" s="13" t="str">
        <x:v>Final manual black-box test execution | 78/78 executed | 75 PASS | 3 FAIL | Confirmed defects: BUG-001, BUG-002, BUG-003</x:v>
      </x:c>
      <x:c r="B2" s="13"/>
      <x:c r="C2" s="13"/>
      <x:c r="D2" s="13"/>
      <x:c r="E2" s="13"/>
      <x:c r="F2" s="13"/>
      <x:c r="G2" s="13"/>
      <x:c r="H2" s="13"/>
      <x:c r="I2" s="13"/>
      <x:c r="J2" s="13"/>
      <x:c r="K2" s="13"/>
      <x:c r="L2" s="13"/>
      <x:c r="M2" s="13"/>
    </x:row>
    <x:row r="4" ht="34" customHeight="1">
      <x:c r="A4" s="22" t="str">
        <x:v>Test Case ID</x:v>
      </x:c>
      <x:c r="B4" s="22" t="str">
        <x:v>Scenario ID</x:v>
      </x:c>
      <x:c r="C4" s="22" t="str">
        <x:v>Module</x:v>
      </x:c>
      <x:c r="D4" s="22" t="str">
        <x:v>Preconditions</x:v>
      </x:c>
      <x:c r="E4" s="22" t="str">
        <x:v>Test Steps</x:v>
      </x:c>
      <x:c r="F4" s="22" t="str">
        <x:v>Test Data</x:v>
      </x:c>
      <x:c r="G4" s="22" t="str">
        <x:v>Expected Result</x:v>
      </x:c>
      <x:c r="H4" s="22" t="str">
        <x:v>Actual Result</x:v>
      </x:c>
      <x:c r="I4" s="22" t="str">
        <x:v>Status</x:v>
      </x:c>
      <x:c r="J4" s="22" t="str">
        <x:v>Test Type</x:v>
      </x:c>
      <x:c r="K4" s="22" t="str">
        <x:v>Priority</x:v>
      </x:c>
      <x:c r="L4" s="22" t="str">
        <x:v>Evidence</x:v>
      </x:c>
      <x:c r="M4" s="22" t="str">
        <x:v>Notes</x:v>
      </x:c>
    </x:row>
    <x:row r="5">
      <x:c r="A5" s="30" t="str">
        <x:v>TC-AUTH-001</x:v>
      </x:c>
      <x:c r="B5" s="30" t="str">
        <x:v>TS-AUTH-001</x:v>
      </x:c>
      <x:c r="C5" s="30" t="str">
        <x:v>Authentication</x:v>
      </x:c>
      <x:c r="D5" s="30" t="str">
        <x:v>A registered and active user account exists; application is on the login page.</x:v>
      </x:c>
      <x:c r="E5" s="30" t="str">
        <x:v>1. Open the application.
2. Enter a valid registered email.
3. Enter the correct password.
4. Tap the Login button.</x:v>
      </x:c>
      <x:c r="F5" s="30" t="str">
        <x:v>Valid registered email; valid password</x:v>
      </x:c>
      <x:c r="G5" s="30" t="str">
        <x:v>Authentication succeeds and the user is granted access to the application.</x:v>
      </x:c>
      <x:c r="H5" s="30" t="str">
        <x:v>Observed behavior matched the expected result during final manual execution: Authentication succeeds and the user is granted access to the application.</x:v>
      </x:c>
      <x:c r="I5" s="30" t="str">
        <x:v>Pass</x:v>
      </x:c>
      <x:c r="J5" s="30" t="str">
        <x:v>Positive</x:v>
      </x:c>
      <x:c r="K5" s="30" t="str">
        <x:v>Critical</x:v>
      </x:c>
      <x:c r="L5" s="30" t="str">
        <x:v>06-Evidence/Authentication/TC-AUTH-001.png</x:v>
      </x:c>
      <x:c r="M5" s="30" t="str">
        <x:v>Executed during final QA cycle on 2026-09-10; screenshot evidence captured. Final result: PASS.</x:v>
      </x:c>
    </x:row>
    <x:row r="6">
      <x:c r="A6" s="30" t="str">
        <x:v>TC-AUTH-002</x:v>
      </x:c>
      <x:c r="B6" s="30" t="str">
        <x:v>TS-AUTH-002</x:v>
      </x:c>
      <x:c r="C6" s="30" t="str">
        <x:v>Authentication</x:v>
      </x:c>
      <x:c r="D6" s="30" t="str">
        <x:v>A registered and active user account exists; application is on the login page.</x:v>
      </x:c>
      <x:c r="E6" s="30" t="str">
        <x:v>1. Open the login page.
2. Enter a valid registered email.
3. Enter an incorrect password.
4. Tap Login.</x:v>
      </x:c>
      <x:c r="F6" s="30" t="str">
        <x:v>Valid registered email; incorrect password</x:v>
      </x:c>
      <x:c r="G6" s="30" t="str">
        <x:v>Login is rejected and an appropriate authentication error is shown; user remains unauthenticated.</x:v>
      </x:c>
      <x:c r="H6" s="30" t="str">
        <x:v>Observed behavior matched the expected result during final manual execution: Login is rejected and an appropriate authentication error is shown; user remains unauthenticated.</x:v>
      </x:c>
      <x:c r="I6" s="30" t="str">
        <x:v>Pass</x:v>
      </x:c>
      <x:c r="J6" s="30" t="str">
        <x:v>Negative</x:v>
      </x:c>
      <x:c r="K6" s="30" t="str">
        <x:v>High</x:v>
      </x:c>
      <x:c r="L6" s="30" t="str">
        <x:v>06-Evidence/Authentication/TC-AUTH-002.png</x:v>
      </x:c>
      <x:c r="M6" s="30" t="str">
        <x:v>Executed during final QA cycle on 2026-09-10; screenshot evidence captured. Final result: PASS.</x:v>
      </x:c>
    </x:row>
    <x:row r="7">
      <x:c r="A7" s="30" t="str">
        <x:v>TC-AUTH-003</x:v>
      </x:c>
      <x:c r="B7" s="30" t="str">
        <x:v>TS-AUTH-003</x:v>
      </x:c>
      <x:c r="C7" s="30" t="str">
        <x:v>Authentication</x:v>
      </x:c>
      <x:c r="D7" s="30" t="str">
        <x:v>Application is on the login page.</x:v>
      </x:c>
      <x:c r="E7" s="30" t="str">
        <x:v>1. Open the login page.
2. Enter an email that is not registered.
3. Enter a password.
4. Tap Login.</x:v>
      </x:c>
      <x:c r="F7" s="30" t="str">
        <x:v>Unregistered email; any password</x:v>
      </x:c>
      <x:c r="G7" s="30" t="str">
        <x:v>Login is rejected and the user is not granted access.</x:v>
      </x:c>
      <x:c r="H7" s="30" t="str">
        <x:v>Observed behavior matched the expected result during final manual execution: Login is rejected and the user is not granted access.</x:v>
      </x:c>
      <x:c r="I7" s="30" t="str">
        <x:v>Pass</x:v>
      </x:c>
      <x:c r="J7" s="30" t="str">
        <x:v>Negative</x:v>
      </x:c>
      <x:c r="K7" s="30" t="str">
        <x:v>High</x:v>
      </x:c>
      <x:c r="L7" s="30" t="str">
        <x:v>06-Evidence/Authentication/TC-AUTH-003.png</x:v>
      </x:c>
      <x:c r="M7" s="30" t="str">
        <x:v>Executed during final QA cycle on 2026-09-10; screenshot evidence captured. Final result: PASS.</x:v>
      </x:c>
    </x:row>
    <x:row r="8">
      <x:c r="A8" s="30" t="str">
        <x:v>TC-AUTH-004</x:v>
      </x:c>
      <x:c r="B8" s="30" t="str">
        <x:v>TS-AUTH-004</x:v>
      </x:c>
      <x:c r="C8" s="30" t="str">
        <x:v>Authentication</x:v>
      </x:c>
      <x:c r="D8" s="30" t="str">
        <x:v>Application is on the login page.</x:v>
      </x:c>
      <x:c r="E8" s="30" t="str">
        <x:v>1. Open the login page.
2. Leave the email field empty.
3. Enter a password.
4. Tap Login.</x:v>
      </x:c>
      <x:c r="F8" s="30" t="str">
        <x:v>Email: blank; Password: valid/non-empty</x:v>
      </x:c>
      <x:c r="G8" s="30" t="str">
        <x:v>Validation prevents login and indicates that email is required.</x:v>
      </x:c>
      <x:c r="H8" s="30" t="str">
        <x:v>Observed behavior matched the expected result during final manual execution: Validation prevents login and indicates that email is required.</x:v>
      </x:c>
      <x:c r="I8" s="30" t="str">
        <x:v>Pass</x:v>
      </x:c>
      <x:c r="J8" s="30" t="str">
        <x:v>Validation</x:v>
      </x:c>
      <x:c r="K8" s="30" t="str">
        <x:v>High</x:v>
      </x:c>
      <x:c r="L8" s="30" t="str">
        <x:v>06-Evidence/Authentication/TC-AUTH-004.png</x:v>
      </x:c>
      <x:c r="M8" s="30" t="str">
        <x:v>Executed during final QA cycle on 2026-09-10; screenshot evidence captured. Final result: PASS.</x:v>
      </x:c>
    </x:row>
    <x:row r="9">
      <x:c r="A9" s="30" t="str">
        <x:v>TC-AUTH-005</x:v>
      </x:c>
      <x:c r="B9" s="30" t="str">
        <x:v>TS-AUTH-005</x:v>
      </x:c>
      <x:c r="C9" s="30" t="str">
        <x:v>Authentication</x:v>
      </x:c>
      <x:c r="D9" s="30" t="str">
        <x:v>Application is on the login page.</x:v>
      </x:c>
      <x:c r="E9" s="30" t="str">
        <x:v>1. Open the login page.
2. Enter an email.
3. Leave password empty.
4. Tap Login.</x:v>
      </x:c>
      <x:c r="F9" s="30" t="str">
        <x:v>Email: valid/non-empty; Password: blank</x:v>
      </x:c>
      <x:c r="G9" s="30" t="str">
        <x:v>Validation prevents login and indicates that password is required.</x:v>
      </x:c>
      <x:c r="H9" s="30" t="str">
        <x:v>Observed behavior matched the expected result during final manual execution: Validation prevents login and indicates that password is required.</x:v>
      </x:c>
      <x:c r="I9" s="30" t="str">
        <x:v>Pass</x:v>
      </x:c>
      <x:c r="J9" s="30" t="str">
        <x:v>Validation</x:v>
      </x:c>
      <x:c r="K9" s="30" t="str">
        <x:v>High</x:v>
      </x:c>
      <x:c r="L9" s="30" t="str">
        <x:v>06-Evidence/Authentication/TC-AUTH-005.png</x:v>
      </x:c>
      <x:c r="M9" s="30" t="str">
        <x:v>Executed during final QA cycle on 2026-09-10; screenshot evidence captured. Final result: PASS.</x:v>
      </x:c>
    </x:row>
    <x:row r="10">
      <x:c r="A10" s="30" t="str">
        <x:v>TC-AUTH-006</x:v>
      </x:c>
      <x:c r="B10" s="30" t="str">
        <x:v>TS-AUTH-006</x:v>
      </x:c>
      <x:c r="C10" s="30" t="str">
        <x:v>Authentication</x:v>
      </x:c>
      <x:c r="D10" s="30" t="str">
        <x:v>Application is on the login page.</x:v>
      </x:c>
      <x:c r="E10" s="30" t="str">
        <x:v>1. Open the login page.
2. Leave both fields empty.
3. Tap Login.</x:v>
      </x:c>
      <x:c r="F10" s="30" t="str">
        <x:v>Email: blank; Password: blank</x:v>
      </x:c>
      <x:c r="G10" s="30" t="str">
        <x:v>Validation prevents login and informs the user that required credentials must be provided.</x:v>
      </x:c>
      <x:c r="H10" s="30" t="str">
        <x:v>Observed behavior matched the expected result during final manual execution: Validation prevents login and informs the user that required credentials must be provided.</x:v>
      </x:c>
      <x:c r="I10" s="30" t="str">
        <x:v>Pass</x:v>
      </x:c>
      <x:c r="J10" s="30" t="str">
        <x:v>Validation</x:v>
      </x:c>
      <x:c r="K10" s="30" t="str">
        <x:v>High</x:v>
      </x:c>
      <x:c r="L10" s="30" t="str">
        <x:v>06-Evidence/Authentication/TC-AUTH-006.png</x:v>
      </x:c>
      <x:c r="M10" s="30" t="str">
        <x:v>Executed during final QA cycle on 2026-09-10; screenshot evidence captured. Final result: PASS.</x:v>
      </x:c>
    </x:row>
    <x:row r="11">
      <x:c r="A11" s="30" t="str">
        <x:v>TC-AUTH-007</x:v>
      </x:c>
      <x:c r="B11" s="30" t="str">
        <x:v>TS-AUTH-007</x:v>
      </x:c>
      <x:c r="C11" s="30" t="str">
        <x:v>Authentication</x:v>
      </x:c>
      <x:c r="D11" s="30" t="str">
        <x:v>An authentication account exists and its application profile/status is inactive.</x:v>
      </x:c>
      <x:c r="E11" s="30" t="str">
        <x:v>1. Open the login page.
2. Enter credentials of an inactive user.
3. Tap Login.
4. Observe access behavior.</x:v>
      </x:c>
      <x:c r="F11" s="30" t="str">
        <x:v>Inactive account email and valid password</x:v>
      </x:c>
      <x:c r="G11" s="30" t="str">
        <x:v>The inactive account is denied access and remains signed out.</x:v>
      </x:c>
      <x:c r="H11" s="30" t="str">
        <x:v>Observed behavior matched the expected result during final manual execution: The inactive account is denied access and remains signed out.</x:v>
      </x:c>
      <x:c r="I11" s="30" t="str">
        <x:v>Pass</x:v>
      </x:c>
      <x:c r="J11" s="30" t="str">
        <x:v>Negative</x:v>
      </x:c>
      <x:c r="K11" s="30" t="str">
        <x:v>Critical</x:v>
      </x:c>
      <x:c r="L11" s="30" t="str">
        <x:v>06-Evidence/Authentication/TC-AUTH-007.png</x:v>
      </x:c>
      <x:c r="M11" s="30" t="str">
        <x:v>Executed during final QA cycle on 2026-09-10; screenshot evidence captured. Final result: PASS.</x:v>
      </x:c>
    </x:row>
    <x:row r="12">
      <x:c r="A12" s="30" t="str">
        <x:v>TC-AUTH-008</x:v>
      </x:c>
      <x:c r="B12" s="30" t="str">
        <x:v>TS-AUTH-008</x:v>
      </x:c>
      <x:c r="C12" s="30" t="str">
        <x:v>Authentication</x:v>
      </x:c>
      <x:c r="D12" s="30" t="str">
        <x:v>Application is on the login page.</x:v>
      </x:c>
      <x:c r="E12" s="30" t="str">
        <x:v>1. Enter a password.
2. Tap the password visibility icon.
3. Observe password display.
4. Tap the icon again.</x:v>
      </x:c>
      <x:c r="F12" s="30" t="str">
        <x:v>Any password text</x:v>
      </x:c>
      <x:c r="G12" s="30" t="str">
        <x:v>Password visibility toggles between masked and visible without changing the entered value.</x:v>
      </x:c>
      <x:c r="H12" s="30" t="str">
        <x:v>Observed behavior matched the expected result during final manual execution: Password visibility toggles between masked and visible without changing the entered value.</x:v>
      </x:c>
      <x:c r="I12" s="30" t="str">
        <x:v>Pass</x:v>
      </x:c>
      <x:c r="J12" s="30" t="str">
        <x:v>Functional</x:v>
      </x:c>
      <x:c r="K12" s="30" t="str">
        <x:v>Medium</x:v>
      </x:c>
      <x:c r="L12" s="30" t="str">
        <x:v>06-Evidence/Authentication/TC-AUTH-008.png</x:v>
      </x:c>
      <x:c r="M12" s="30" t="str">
        <x:v>Executed during final QA cycle on 2026-09-10; screenshot evidence captured. Final result: PASS.</x:v>
      </x:c>
    </x:row>
    <x:row r="13">
      <x:c r="A13" s="30" t="str">
        <x:v>TC-AUTH-009</x:v>
      </x:c>
      <x:c r="B13" s="30" t="str">
        <x:v>TS-AUTH-009</x:v>
      </x:c>
      <x:c r="C13" s="30" t="str">
        <x:v>Authentication</x:v>
      </x:c>
      <x:c r="D13" s="30" t="str">
        <x:v>A valid active account exists; application is on the login page.</x:v>
      </x:c>
      <x:c r="E13" s="30" t="str">
        <x:v>1. Login using valid credentials.
2. Wait for authentication to complete.
3. Observe the destination page.</x:v>
      </x:c>
      <x:c r="F13" s="30" t="str">
        <x:v>Valid email and password</x:v>
      </x:c>
      <x:c r="G13" s="30" t="str">
        <x:v>After successful authentication, the user is redirected to the dashboard.</x:v>
      </x:c>
      <x:c r="H13" s="30" t="str">
        <x:v>Observed behavior matched the expected result during final manual execution: After successful authentication, the user is redirected to the dashboard.</x:v>
      </x:c>
      <x:c r="I13" s="30" t="str">
        <x:v>Pass</x:v>
      </x:c>
      <x:c r="J13" s="30" t="str">
        <x:v>Functional</x:v>
      </x:c>
      <x:c r="K13" s="30" t="str">
        <x:v>Critical</x:v>
      </x:c>
      <x:c r="L13" s="30" t="str">
        <x:v>06-Evidence/Authentication/TC-AUTH-009.png</x:v>
      </x:c>
      <x:c r="M13" s="30" t="str">
        <x:v>Executed during final QA cycle on 2026-09-10; screenshot evidence captured. Final result: PASS.</x:v>
      </x:c>
    </x:row>
    <x:row r="14">
      <x:c r="A14" s="30" t="str">
        <x:v>TC-AUTH-010</x:v>
      </x:c>
      <x:c r="B14" s="30" t="str">
        <x:v>TS-AUTH-010</x:v>
      </x:c>
      <x:c r="C14" s="30" t="str">
        <x:v>Authentication</x:v>
      </x:c>
      <x:c r="D14" s="30" t="str">
        <x:v>User is currently authenticated and inside the application.</x:v>
      </x:c>
      <x:c r="E14" s="30" t="str">
        <x:v>1. Open the logout action/menu.
2. Tap Logout.
3. Confirm if confirmation is shown.
4. Observe the resulting session/page.</x:v>
      </x:c>
      <x:c r="F14" s="30" t="str">
        <x:v>N/A</x:v>
      </x:c>
      <x:c r="G14" s="30" t="str">
        <x:v>The session is ended and the user returns to the login screen; protected pages are no longer accessible.</x:v>
      </x:c>
      <x:c r="H14" s="30" t="str">
        <x:v>Observed behavior matched the expected result during final manual execution: The session is ended and the user returns to the login screen; protected pages are no longer accessible.</x:v>
      </x:c>
      <x:c r="I14" s="30" t="str">
        <x:v>Pass</x:v>
      </x:c>
      <x:c r="J14" s="30" t="str">
        <x:v>Functional</x:v>
      </x:c>
      <x:c r="K14" s="30" t="str">
        <x:v>High</x:v>
      </x:c>
      <x:c r="L14" s="30" t="str">
        <x:v>06-Evidence/Authentication/TC-AUTH-010.png</x:v>
      </x:c>
      <x:c r="M14" s="30" t="str">
        <x:v>Executed during final QA cycle on 2026-09-10; screenshot evidence captured. Final result: PASS.</x:v>
      </x:c>
    </x:row>
    <x:row r="15">
      <x:c r="A15" s="30" t="str">
        <x:v>TC-DASH-001</x:v>
      </x:c>
      <x:c r="B15" s="30" t="str">
        <x:v>TS-DASH-001</x:v>
      </x:c>
      <x:c r="C15" s="30" t="str">
        <x:v>Dashboard</x:v>
      </x:c>
      <x:c r="D15" s="30" t="str">
        <x:v>User is authenticated and has permission to access the dashboard.</x:v>
      </x:c>
      <x:c r="E15" s="30" t="str">
        <x:v>1. Login with a valid account.
2. Wait for dashboard navigation.
3. Observe the dashboard page.</x:v>
      </x:c>
      <x:c r="F15" s="30" t="str">
        <x:v>N/A</x:v>
      </x:c>
      <x:c r="G15" s="30" t="str">
        <x:v>Dashboard loads successfully without error.</x:v>
      </x:c>
      <x:c r="H15" s="30" t="str">
        <x:v>Observed behavior matched the expected result during final manual execution: Dashboard loads successfully without error.</x:v>
      </x:c>
      <x:c r="I15" s="30" t="str">
        <x:v>Pass</x:v>
      </x:c>
      <x:c r="J15" s="30" t="str">
        <x:v>Functional</x:v>
      </x:c>
      <x:c r="K15" s="30" t="str">
        <x:v>Critical</x:v>
      </x:c>
      <x:c r="L15" s="30" t="str">
        <x:v>06-Evidence/Dashboard/TC-DASH-001.png</x:v>
      </x:c>
      <x:c r="M15" s="30" t="str">
        <x:v>Executed during final QA cycle on 2026-09-10; screenshot evidence captured. Final result: PASS.</x:v>
      </x:c>
    </x:row>
    <x:row r="16">
      <x:c r="A16" s="30" t="str">
        <x:v>TC-DASH-002</x:v>
      </x:c>
      <x:c r="B16" s="30" t="str">
        <x:v>TS-DASH-002</x:v>
      </x:c>
      <x:c r="C16" s="30" t="str">
        <x:v>Dashboard</x:v>
      </x:c>
      <x:c r="D16" s="30" t="str">
        <x:v>User is authenticated and has permission to access the dashboard.</x:v>
      </x:c>
      <x:c r="E16" s="30" t="str">
        <x:v>1. Open Dashboard.
2. Observe each displayed information card/summary.
3. Compare the values with the available application data.</x:v>
      </x:c>
      <x:c r="F16" s="30" t="str">
        <x:v>Existing inventory/test data</x:v>
      </x:c>
      <x:c r="G16" s="30" t="str">
        <x:v>Dashboard information is displayed and matches the underlying application data.</x:v>
      </x:c>
      <x:c r="H16" s="30" t="str">
        <x:v>Observed behavior matched the expected result during final manual execution: Dashboard information is displayed and matches the underlying application data.</x:v>
      </x:c>
      <x:c r="I16" s="30" t="str">
        <x:v>Pass</x:v>
      </x:c>
      <x:c r="J16" s="30" t="str">
        <x:v>Functional</x:v>
      </x:c>
      <x:c r="K16" s="30" t="str">
        <x:v>High</x:v>
      </x:c>
      <x:c r="L16" s="30" t="str">
        <x:v>06-Evidence/Dashboard/TC-DASH-002.png</x:v>
      </x:c>
      <x:c r="M16" s="30" t="str">
        <x:v>Executed during final QA cycle on 2026-09-10; screenshot evidence captured. Final result: PASS.</x:v>
      </x:c>
    </x:row>
    <x:row r="17">
      <x:c r="A17" s="30" t="str">
        <x:v>TC-DASH-003</x:v>
      </x:c>
      <x:c r="B17" s="30" t="str">
        <x:v>TS-DASH-003</x:v>
      </x:c>
      <x:c r="C17" s="30" t="str">
        <x:v>Dashboard</x:v>
      </x:c>
      <x:c r="D17" s="30" t="str">
        <x:v>User is authenticated and has permission to access the dashboard.</x:v>
      </x:c>
      <x:c r="E17" s="30" t="str">
        <x:v>1. Open Dashboard.
2. Select each available module/navigation entry.
3. Verify the destination page.
4. Return to Dashboard and repeat.</x:v>
      </x:c>
      <x:c r="F17" s="30" t="str">
        <x:v>N/A</x:v>
      </x:c>
      <x:c r="G17" s="30" t="str">
        <x:v>Each navigation entry opens the intended module and returns normally.</x:v>
      </x:c>
      <x:c r="H17" s="30" t="str">
        <x:v>Observed behavior matched the expected result during final manual execution: Each navigation entry opens the intended module and returns normally.</x:v>
      </x:c>
      <x:c r="I17" s="30" t="str">
        <x:v>Pass</x:v>
      </x:c>
      <x:c r="J17" s="30" t="str">
        <x:v>Functional</x:v>
      </x:c>
      <x:c r="K17" s="30" t="str">
        <x:v>High</x:v>
      </x:c>
      <x:c r="L17" s="30" t="str">
        <x:v>06-Evidence/Dashboard/TC-DASH-003.png</x:v>
      </x:c>
      <x:c r="M17" s="30" t="str">
        <x:v>Executed during final QA cycle on 2026-09-10; screenshot evidence captured. Final result: PASS.</x:v>
      </x:c>
    </x:row>
    <x:row r="18">
      <x:c r="A18" s="30" t="str">
        <x:v>TC-DASH-004</x:v>
      </x:c>
      <x:c r="B18" s="30" t="str">
        <x:v>TS-DASH-004</x:v>
      </x:c>
      <x:c r="C18" s="30" t="str">
        <x:v>Dashboard</x:v>
      </x:c>
      <x:c r="D18" s="30" t="str">
        <x:v>User is authenticated and has permission to access the dashboard.</x:v>
      </x:c>
      <x:c r="E18" s="30" t="str">
        <x:v>1. Record current dashboard inventory values.
2. Perform a valid inventory transaction/update.
3. Return to or refresh Dashboard.
4. Compare displayed values.</x:v>
      </x:c>
      <x:c r="F18" s="30" t="str">
        <x:v>Inventory data before and after a known transaction/update</x:v>
      </x:c>
      <x:c r="G18" s="30" t="str">
        <x:v>Dashboard reflects the latest inventory data after the update.</x:v>
      </x:c>
      <x:c r="H18" s="30" t="str">
        <x:v>Observed behavior matched the expected result during final manual execution: Dashboard reflects the latest inventory data after the update.</x:v>
      </x:c>
      <x:c r="I18" s="30" t="str">
        <x:v>Pass</x:v>
      </x:c>
      <x:c r="J18" s="30" t="str">
        <x:v>Functional</x:v>
      </x:c>
      <x:c r="K18" s="30" t="str">
        <x:v>High</x:v>
      </x:c>
      <x:c r="L18" s="30" t="str">
        <x:v>06-Evidence/Dashboard/TC-DASH-004.png</x:v>
      </x:c>
      <x:c r="M18" s="30" t="str">
        <x:v>Executed during final QA cycle on 2026-09-10; screenshot evidence captured. Final result: PASS.</x:v>
      </x:c>
    </x:row>
    <x:row r="19">
      <x:c r="A19" s="30" t="str">
        <x:v>TC-DASH-005</x:v>
      </x:c>
      <x:c r="B19" s="30" t="str">
        <x:v>TS-DASH-005</x:v>
      </x:c>
      <x:c r="C19" s="30" t="str">
        <x:v>Dashboard</x:v>
      </x:c>
      <x:c r="D19" s="30" t="str">
        <x:v>User is authenticated and has permission to access the dashboard.</x:v>
      </x:c>
      <x:c r="E19" s="30" t="str">
        <x:v>1. Prepare or use an account/environment with no inventory data.
2. Open Dashboard.
3. Observe empty-state behavior.</x:v>
      </x:c>
      <x:c r="F19" s="30" t="str">
        <x:v>Environment/test state with no inventory records</x:v>
      </x:c>
      <x:c r="G19" s="30" t="str">
        <x:v>Dashboard handles empty data gracefully without crash or misleading values.</x:v>
      </x:c>
      <x:c r="H19" s="30" t="str">
        <x:v>Observed behavior matched the expected result during final manual execution: Dashboard handles empty data gracefully without crash or misleading values.</x:v>
      </x:c>
      <x:c r="I19" s="30" t="str">
        <x:v>Pass</x:v>
      </x:c>
      <x:c r="J19" s="30" t="str">
        <x:v>Negative</x:v>
      </x:c>
      <x:c r="K19" s="30" t="str">
        <x:v>Medium</x:v>
      </x:c>
      <x:c r="L19" s="30" t="str">
        <x:v>06-Evidence/Dashboard/TC-DASH-005.png</x:v>
      </x:c>
      <x:c r="M19" s="30" t="str">
        <x:v>Executed during final QA cycle on 2026-09-10; screenshot evidence captured. Final result: PASS.</x:v>
      </x:c>
    </x:row>
    <x:row r="20">
      <x:c r="A20" s="30" t="str">
        <x:v>TC-PROD-001</x:v>
      </x:c>
      <x:c r="B20" s="30" t="str">
        <x:v>TS-PROD-001</x:v>
      </x:c>
      <x:c r="C20" s="30" t="str">
        <x:v>Product Management</x:v>
      </x:c>
      <x:c r="D20" s="30" t="str">
        <x:v>User is authenticated and has access to Product Management.</x:v>
      </x:c>
      <x:c r="E20" s="30" t="str">
        <x:v>1. Open Product Management.
2. Wait for the product list to load.
3. Observe displayed records.</x:v>
      </x:c>
      <x:c r="F20" s="30" t="str">
        <x:v>N/A</x:v>
      </x:c>
      <x:c r="G20" s="30" t="str">
        <x:v>The product list is displayed successfully and available records are readable.</x:v>
      </x:c>
      <x:c r="H20" s="30" t="str">
        <x:v>Observed behavior matched the expected result during final manual execution: The product list is displayed successfully and available records are readable.</x:v>
      </x:c>
      <x:c r="I20" s="30" t="str">
        <x:v>Pass</x:v>
      </x:c>
      <x:c r="J20" s="30" t="str">
        <x:v>Functional</x:v>
      </x:c>
      <x:c r="K20" s="30" t="str">
        <x:v>Critical</x:v>
      </x:c>
      <x:c r="L20" s="30" t="str">
        <x:v>06-Evidence/Product-Management/TC-PROD-001.png</x:v>
      </x:c>
      <x:c r="M20" s="30" t="str">
        <x:v>Executed during final QA cycle on 2026-09-10; screenshot evidence captured. Final result: PASS.</x:v>
      </x:c>
    </x:row>
    <x:row r="21">
      <x:c r="A21" s="30" t="str">
        <x:v>TC-PROD-002</x:v>
      </x:c>
      <x:c r="B21" s="30" t="str">
        <x:v>TS-PROD-002</x:v>
      </x:c>
      <x:c r="C21" s="30" t="str">
        <x:v>Product Management</x:v>
      </x:c>
      <x:c r="D21" s="30" t="str">
        <x:v>User is authenticated and has access to Product Management.</x:v>
      </x:c>
      <x:c r="E21" s="30" t="str">
        <x:v>1. Open Product Management.
2. Choose Add Product.
3. Fill all required fields with valid values.
4. Save the product.
5. Return to/list products.</x:v>
      </x:c>
      <x:c r="F21" s="30" t="str">
        <x:v>Valid product data using all required fields</x:v>
      </x:c>
      <x:c r="G21" s="30" t="str">
        <x:v>The product is saved successfully and appears in the product list with the entered information.</x:v>
      </x:c>
      <x:c r="H21" s="30" t="str">
        <x:v>Observed behavior matched the expected result during final manual execution: The product is saved successfully and appears in the product list with the entered information.</x:v>
      </x:c>
      <x:c r="I21" s="30" t="str">
        <x:v>Pass</x:v>
      </x:c>
      <x:c r="J21" s="30" t="str">
        <x:v>Positive</x:v>
      </x:c>
      <x:c r="K21" s="30" t="str">
        <x:v>Critical</x:v>
      </x:c>
      <x:c r="L21" s="30" t="str">
        <x:v>06-Evidence/Product-Management/TC-PROD-002.png</x:v>
      </x:c>
      <x:c r="M21" s="30" t="str">
        <x:v>Executed during final QA cycle on 2026-09-10; screenshot evidence captured. Final result: PASS.</x:v>
      </x:c>
    </x:row>
    <x:row r="22">
      <x:c r="A22" s="30" t="str">
        <x:v>TC-PROD-003</x:v>
      </x:c>
      <x:c r="B22" s="30" t="str">
        <x:v>TS-PROD-003</x:v>
      </x:c>
      <x:c r="C22" s="30" t="str">
        <x:v>Product Management</x:v>
      </x:c>
      <x:c r="D22" s="30" t="str">
        <x:v>User is authenticated and has access to Product Management.</x:v>
      </x:c>
      <x:c r="E22" s="30" t="str">
        <x:v>1. Choose Add Product.
2. Leave required field(s) blank.
3. Attempt to save.</x:v>
      </x:c>
      <x:c r="F22" s="30" t="str">
        <x:v>One or more required product fields left blank</x:v>
      </x:c>
      <x:c r="G22" s="30" t="str">
        <x:v>The application blocks invalid submission and provides required-field validation.</x:v>
      </x:c>
      <x:c r="H22" s="30" t="str">
        <x:v>Observed behavior matched the expected result during final manual execution: The application blocks invalid submission and provides required-field validation.</x:v>
      </x:c>
      <x:c r="I22" s="30" t="str">
        <x:v>Pass</x:v>
      </x:c>
      <x:c r="J22" s="30" t="str">
        <x:v>Validation</x:v>
      </x:c>
      <x:c r="K22" s="30" t="str">
        <x:v>High</x:v>
      </x:c>
      <x:c r="L22" s="30" t="str">
        <x:v>06-Evidence/Product-Management/TC-PROD-003.png</x:v>
      </x:c>
      <x:c r="M22" s="30" t="str">
        <x:v>Executed during final QA cycle on 2026-09-10; screenshot evidence captured. Final result: PASS.</x:v>
      </x:c>
    </x:row>
    <x:row r="23">
      <x:c r="A23" s="30" t="str">
        <x:v>TC-PROD-004</x:v>
      </x:c>
      <x:c r="B23" s="30" t="str">
        <x:v>TS-PROD-004</x:v>
      </x:c>
      <x:c r="C23" s="30" t="str">
        <x:v>Product Management</x:v>
      </x:c>
      <x:c r="D23" s="30" t="str">
        <x:v>User is authenticated and has access to Product Management.</x:v>
      </x:c>
      <x:c r="E23" s="30" t="str">
        <x:v>1. Open Add/Edit Product.
2. Enter an invalid value in a constrained field.
3. Attempt to save.
4. Observe validation.</x:v>
      </x:c>
      <x:c r="F23" s="30" t="str">
        <x:v>Invalid value for a field that has format/range constraints</x:v>
      </x:c>
      <x:c r="G23" s="30" t="str">
        <x:v>Invalid product data is rejected or safely handled; no invalid record is saved.</x:v>
      </x:c>
      <x:c r="H23" s="30" t="str">
        <x:v>Observed behavior matched the expected result during final manual execution: Invalid product data is rejected or safely handled; no invalid record is saved.</x:v>
      </x:c>
      <x:c r="I23" s="30" t="str">
        <x:v>Pass</x:v>
      </x:c>
      <x:c r="J23" s="30" t="str">
        <x:v>Negative</x:v>
      </x:c>
      <x:c r="K23" s="30" t="str">
        <x:v>High</x:v>
      </x:c>
      <x:c r="L23" s="30" t="str">
        <x:v>06-Evidence/Product-Management/TC-PROD-004.png</x:v>
      </x:c>
      <x:c r="M23" s="30" t="str">
        <x:v>Executed during final QA cycle on 2026-09-10; screenshot evidence captured. Final result: PASS.</x:v>
      </x:c>
    </x:row>
    <x:row r="24">
      <x:c r="A24" s="30" t="str">
        <x:v>TC-PROD-005</x:v>
      </x:c>
      <x:c r="B24" s="30" t="str">
        <x:v>TS-PROD-005</x:v>
      </x:c>
      <x:c r="C24" s="30" t="str">
        <x:v>Product Management</x:v>
      </x:c>
      <x:c r="D24" s="30" t="str">
        <x:v>User is authenticated and has access to Product Management.</x:v>
      </x:c>
      <x:c r="E24" s="30" t="str">
        <x:v>1. Open an existing product.
2. Choose Edit.
3. Change one or more editable fields.
4. Save changes.</x:v>
      </x:c>
      <x:c r="F24" s="30" t="str">
        <x:v>Existing product; new valid field value</x:v>
      </x:c>
      <x:c r="G24" s="30" t="str">
        <x:v>The edit operation completes successfully.</x:v>
      </x:c>
      <x:c r="H24" s="30" t="str">
        <x:v>Observed behavior matched the expected result during final manual execution: The edit operation completes successfully.</x:v>
      </x:c>
      <x:c r="I24" s="30" t="str">
        <x:v>Pass</x:v>
      </x:c>
      <x:c r="J24" s="30" t="str">
        <x:v>Functional</x:v>
      </x:c>
      <x:c r="K24" s="30" t="str">
        <x:v>High</x:v>
      </x:c>
      <x:c r="L24" s="30" t="str">
        <x:v>06-Evidence/Product-Management/TC-PROD-005.png</x:v>
      </x:c>
      <x:c r="M24" s="30" t="str">
        <x:v>Executed during final QA cycle on 2026-09-10; screenshot evidence captured. Final result: PASS.</x:v>
      </x:c>
    </x:row>
    <x:row r="25">
      <x:c r="A25" s="30" t="str">
        <x:v>TC-PROD-006</x:v>
      </x:c>
      <x:c r="B25" s="30" t="str">
        <x:v>TS-PROD-006</x:v>
      </x:c>
      <x:c r="C25" s="30" t="str">
        <x:v>Product Management</x:v>
      </x:c>
      <x:c r="D25" s="30" t="str">
        <x:v>User is authenticated and has access to Product Management.</x:v>
      </x:c>
      <x:c r="E25" s="30" t="str">
        <x:v>1. Edit an existing product with known values.
2. Save.
3. Reopen the product/list.
4. Compare displayed data to the edited values.</x:v>
      </x:c>
      <x:c r="F25" s="30" t="str">
        <x:v>Existing product with edited values</x:v>
      </x:c>
      <x:c r="G25" s="30" t="str">
        <x:v>Saved product information matches the new values after reopening/reload.</x:v>
      </x:c>
      <x:c r="H25" s="30" t="str">
        <x:v>Observed behavior matched the expected result during final manual execution: Saved product information matches the new values after reopening/reload.</x:v>
      </x:c>
      <x:c r="I25" s="30" t="str">
        <x:v>Pass</x:v>
      </x:c>
      <x:c r="J25" s="30" t="str">
        <x:v>Functional</x:v>
      </x:c>
      <x:c r="K25" s="30" t="str">
        <x:v>High</x:v>
      </x:c>
      <x:c r="L25" s="30" t="str">
        <x:v>06-Evidence/Product-Management/TC-PROD-006.png</x:v>
      </x:c>
      <x:c r="M25" s="30" t="str">
        <x:v>Executed during final QA cycle on 2026-09-10; screenshot evidence captured. Final result: PASS.</x:v>
      </x:c>
    </x:row>
    <x:row r="26">
      <x:c r="A26" s="30" t="str">
        <x:v>TC-PROD-007</x:v>
      </x:c>
      <x:c r="B26" s="30" t="str">
        <x:v>TS-PROD-007</x:v>
      </x:c>
      <x:c r="C26" s="30" t="str">
        <x:v>Product Management</x:v>
      </x:c>
      <x:c r="D26" s="30" t="str">
        <x:v>User is authenticated and has access to Product Management.</x:v>
      </x:c>
      <x:c r="E26" s="30" t="str">
        <x:v>1. Locate the test product.
2. Choose Delete.
3. Confirm deletion if prompted.
4. Search/list the product again.</x:v>
      </x:c>
      <x:c r="F26" s="30" t="str">
        <x:v>A product record prepared for deletion</x:v>
      </x:c>
      <x:c r="G26" s="30" t="str">
        <x:v>Deletion follows the intended application behavior and the removed product is no longer available where applicable.</x:v>
      </x:c>
      <x:c r="H26" s="30" t="str">
        <x:v>Observed behavior matched the expected result during final manual execution: Deletion follows the intended application behavior and the removed product is no longer available where applicable.</x:v>
      </x:c>
      <x:c r="I26" s="30" t="str">
        <x:v>Pass</x:v>
      </x:c>
      <x:c r="J26" s="30" t="str">
        <x:v>Functional</x:v>
      </x:c>
      <x:c r="K26" s="30" t="str">
        <x:v>High</x:v>
      </x:c>
      <x:c r="L26" s="30" t="str">
        <x:v>06-Evidence/Product-Management/TC-PROD-007.png</x:v>
      </x:c>
      <x:c r="M26" s="30" t="str">
        <x:v>Executed during final QA cycle on 2026-09-10; screenshot evidence captured. Final result: PASS.</x:v>
      </x:c>
    </x:row>
    <x:row r="27">
      <x:c r="A27" s="30" t="str">
        <x:v>TC-PROD-008</x:v>
      </x:c>
      <x:c r="B27" s="30" t="str">
        <x:v>TS-PROD-008</x:v>
      </x:c>
      <x:c r="C27" s="30" t="str">
        <x:v>Product Management</x:v>
      </x:c>
      <x:c r="D27" s="30" t="str">
        <x:v>User is authenticated and has access to Product Management.</x:v>
      </x:c>
      <x:c r="E27" s="30" t="str">
        <x:v>1. Open Product Management.
2. Enter a keyword belonging to an existing product in search.
3. Observe search results.</x:v>
      </x:c>
      <x:c r="F27" s="30" t="str">
        <x:v>Keyword matching an existing product</x:v>
      </x:c>
      <x:c r="G27" s="30" t="str">
        <x:v>Matching product(s) are returned.</x:v>
      </x:c>
      <x:c r="H27" s="30" t="str">
        <x:v>Observed behavior matched the expected result during final manual execution: Matching product(s) are returned.</x:v>
      </x:c>
      <x:c r="I27" s="30" t="str">
        <x:v>Pass</x:v>
      </x:c>
      <x:c r="J27" s="30" t="str">
        <x:v>Positive</x:v>
      </x:c>
      <x:c r="K27" s="30" t="str">
        <x:v>Medium</x:v>
      </x:c>
      <x:c r="L27" s="30" t="str">
        <x:v>06-Evidence/Product-Management/TC-PROD-008.png</x:v>
      </x:c>
      <x:c r="M27" s="30" t="str">
        <x:v>Executed during final QA cycle on 2026-09-10; screenshot evidence captured. Final result: PASS.</x:v>
      </x:c>
    </x:row>
    <x:row r="28">
      <x:c r="A28" s="30" t="str">
        <x:v>TC-PROD-009</x:v>
      </x:c>
      <x:c r="B28" s="30" t="str">
        <x:v>TS-PROD-009</x:v>
      </x:c>
      <x:c r="C28" s="30" t="str">
        <x:v>Product Management</x:v>
      </x:c>
      <x:c r="D28" s="30" t="str">
        <x:v>User is authenticated and has access to Product Management.</x:v>
      </x:c>
      <x:c r="E28" s="30" t="str">
        <x:v>1. Open Product Management.
2. Enter a nonexistent keyword.
3. Observe results/empty state.</x:v>
      </x:c>
      <x:c r="F28" s="30" t="str">
        <x:v>Keyword that matches no product</x:v>
      </x:c>
      <x:c r="G28" s="30" t="str">
        <x:v>No unrelated product is returned and an appropriate empty state is shown.</x:v>
      </x:c>
      <x:c r="H28" s="30" t="str">
        <x:v>Observed behavior matched the expected result during final manual execution: No unrelated product is returned and an appropriate empty state is shown.</x:v>
      </x:c>
      <x:c r="I28" s="30" t="str">
        <x:v>Pass</x:v>
      </x:c>
      <x:c r="J28" s="30" t="str">
        <x:v>Negative</x:v>
      </x:c>
      <x:c r="K28" s="30" t="str">
        <x:v>Medium</x:v>
      </x:c>
      <x:c r="L28" s="30" t="str">
        <x:v>06-Evidence/Product-Management/TC-PROD-009.png</x:v>
      </x:c>
      <x:c r="M28" s="30" t="str">
        <x:v>Executed during final QA cycle on 2026-09-10; screenshot evidence captured. Final result: PASS.</x:v>
      </x:c>
    </x:row>
    <x:row r="29">
      <x:c r="A29" s="30" t="str">
        <x:v>TC-PROD-010</x:v>
      </x:c>
      <x:c r="B29" s="30" t="str">
        <x:v>TS-PROD-010</x:v>
      </x:c>
      <x:c r="C29" s="30" t="str">
        <x:v>Product Management</x:v>
      </x:c>
      <x:c r="D29" s="30" t="str">
        <x:v>User is authenticated and has access to Product Management.</x:v>
      </x:c>
      <x:c r="E29" s="30" t="str">
        <x:v>1. Record a product's displayed information.
2. Refresh/reload or leave and reopen Product Management.
3. Locate the same product.
4. Compare values.</x:v>
      </x:c>
      <x:c r="F29" s="30" t="str">
        <x:v>Existing product</x:v>
      </x:c>
      <x:c r="G29" s="30" t="str">
        <x:v>Product information remains consistent after reload.</x:v>
      </x:c>
      <x:c r="H29" s="30" t="str">
        <x:v>Observed behavior matched the expected result during final manual execution: Product information remains consistent after reload.</x:v>
      </x:c>
      <x:c r="I29" s="30" t="str">
        <x:v>Pass</x:v>
      </x:c>
      <x:c r="J29" s="30" t="str">
        <x:v>Functional</x:v>
      </x:c>
      <x:c r="K29" s="30" t="str">
        <x:v>High</x:v>
      </x:c>
      <x:c r="L29" s="30" t="str">
        <x:v>06-Evidence/Product-Management/TC-PROD-010.png</x:v>
      </x:c>
      <x:c r="M29" s="30" t="str">
        <x:v>Executed during final QA cycle on 2026-09-10; screenshot evidence captured. Final result: PASS.</x:v>
      </x:c>
    </x:row>
    <x:row r="30">
      <x:c r="A30" s="30" t="str">
        <x:v>TC-IN-001</x:v>
      </x:c>
      <x:c r="B30" s="30" t="str">
        <x:v>TS-IN-001</x:v>
      </x:c>
      <x:c r="C30" s="30" t="str">
        <x:v>Stock In</x:v>
      </x:c>
      <x:c r="D30" s="30" t="str">
        <x:v>User is authenticated; at least one valid product exists and Stock In module is accessible.</x:v>
      </x:c>
      <x:c r="E30" s="30" t="str">
        <x:v>1. Open Stock In.
2. Select an existing product.
3. Enter valid stock-in data.
4. Submit/save the transaction.</x:v>
      </x:c>
      <x:c r="F30" s="30" t="str">
        <x:v>Existing product; valid quantity; valid required transaction/batch data</x:v>
      </x:c>
      <x:c r="G30" s="30" t="str">
        <x:v>A stock-in transaction is successfully created.</x:v>
      </x:c>
      <x:c r="H30" s="30" t="str">
        <x:v>Observed behavior matched the expected result during final manual execution: A stock-in transaction is successfully created.</x:v>
      </x:c>
      <x:c r="I30" s="30" t="str">
        <x:v>Pass</x:v>
      </x:c>
      <x:c r="J30" s="30" t="str">
        <x:v>Positive</x:v>
      </x:c>
      <x:c r="K30" s="30" t="str">
        <x:v>Critical</x:v>
      </x:c>
      <x:c r="L30" s="30" t="str">
        <x:v>06-Evidence/Stock-In/TC-IN-001.png</x:v>
      </x:c>
      <x:c r="M30" s="30" t="str">
        <x:v>Executed during final QA cycle on 2026-09-10; screenshot evidence captured. Final result: PASS.</x:v>
      </x:c>
    </x:row>
    <x:row r="31">
      <x:c r="A31" s="30" t="str">
        <x:v>TC-IN-002</x:v>
      </x:c>
      <x:c r="B31" s="30" t="str">
        <x:v>TS-IN-002</x:v>
      </x:c>
      <x:c r="C31" s="30" t="str">
        <x:v>Stock In</x:v>
      </x:c>
      <x:c r="D31" s="30" t="str">
        <x:v>User is authenticated; at least one valid product exists and Stock In module is accessible.</x:v>
      </x:c>
      <x:c r="E31" s="30" t="str">
        <x:v>1. Open Stock In.
2. Leave one or more required fields empty.
3. Attempt to submit.</x:v>
      </x:c>
      <x:c r="F31" s="30" t="str">
        <x:v>Required Stock In field(s) left blank</x:v>
      </x:c>
      <x:c r="G31" s="30" t="str">
        <x:v>Submission is blocked and required-field validation is shown.</x:v>
      </x:c>
      <x:c r="H31" s="30" t="str">
        <x:v>Observed behavior matched the expected result during final manual execution: Submission is blocked and required-field validation is shown.</x:v>
      </x:c>
      <x:c r="I31" s="30" t="str">
        <x:v>Pass</x:v>
      </x:c>
      <x:c r="J31" s="30" t="str">
        <x:v>Validation</x:v>
      </x:c>
      <x:c r="K31" s="30" t="str">
        <x:v>High</x:v>
      </x:c>
      <x:c r="L31" s="30" t="str">
        <x:v>06-Evidence/Stock-In/TC-IN-002.png</x:v>
      </x:c>
      <x:c r="M31" s="30" t="str">
        <x:v>Executed during final QA cycle on 2026-09-10; screenshot evidence captured. Final result: PASS.</x:v>
      </x:c>
    </x:row>
    <x:row r="32">
      <x:c r="A32" s="30" t="str">
        <x:v>TC-IN-003</x:v>
      </x:c>
      <x:c r="B32" s="30" t="str">
        <x:v>TS-IN-003</x:v>
      </x:c>
      <x:c r="C32" s="30" t="str">
        <x:v>Stock In</x:v>
      </x:c>
      <x:c r="D32" s="30" t="str">
        <x:v>User is authenticated; at least one valid product exists and Stock In module is accessible.</x:v>
      </x:c>
      <x:c r="E32" s="30" t="str">
        <x:v>1. Open Stock In.
2. Select a product.
3. Enter an invalid quantity.
4. Attempt to save.</x:v>
      </x:c>
      <x:c r="F32" s="30" t="str">
        <x:v>Invalid quantity such as negative/non-numeric where not allowed</x:v>
      </x:c>
      <x:c r="G32" s="30" t="str">
        <x:v>Invalid quantity is rejected and no invalid stock-in transaction is created.</x:v>
      </x:c>
      <x:c r="H32" s="30" t="str">
        <x:v>Observed behavior matched the expected result during final manual execution: Invalid quantity is rejected and no invalid stock-in transaction is created.</x:v>
      </x:c>
      <x:c r="I32" s="30" t="str">
        <x:v>Pass</x:v>
      </x:c>
      <x:c r="J32" s="30" t="str">
        <x:v>Negative</x:v>
      </x:c>
      <x:c r="K32" s="30" t="str">
        <x:v>High</x:v>
      </x:c>
      <x:c r="L32" s="30" t="str">
        <x:v>06-Evidence/Stock-In/TC-IN-003.png</x:v>
      </x:c>
      <x:c r="M32" s="30" t="str">
        <x:v>Executed during final QA cycle on 2026-09-10; screenshot evidence captured. Final result: PASS.</x:v>
      </x:c>
    </x:row>
    <x:row r="33">
      <x:c r="A33" s="30" t="str">
        <x:v>TC-IN-004</x:v>
      </x:c>
      <x:c r="B33" s="30" t="str">
        <x:v>TS-IN-004</x:v>
      </x:c>
      <x:c r="C33" s="30" t="str">
        <x:v>Stock In</x:v>
      </x:c>
      <x:c r="D33" s="30" t="str">
        <x:v>User is authenticated; at least one valid product exists and Stock In module is accessible.</x:v>
      </x:c>
      <x:c r="E33" s="30" t="str">
        <x:v>1. Record current product stock.
2. Create a valid stock-in transaction with quantity Q.
3. Open product/inventory data.
4. Compare new stock.</x:v>
      </x:c>
      <x:c r="F33" s="30" t="str">
        <x:v>Known initial stock; stock-in quantity Q</x:v>
      </x:c>
      <x:c r="G33" s="30" t="str">
        <x:v>New stock equals previous stock plus the valid stock-in quantity.</x:v>
      </x:c>
      <x:c r="H33" s="30" t="str">
        <x:v>Observed behavior matched the expected result during final manual execution: New stock equals previous stock plus the valid stock-in quantity.</x:v>
      </x:c>
      <x:c r="I33" s="30" t="str">
        <x:v>Pass</x:v>
      </x:c>
      <x:c r="J33" s="30" t="str">
        <x:v>Functional</x:v>
      </x:c>
      <x:c r="K33" s="30" t="str">
        <x:v>Critical</x:v>
      </x:c>
      <x:c r="L33" s="30" t="str">
        <x:v>06-Evidence/Stock-In/TC-IN-004.png</x:v>
      </x:c>
      <x:c r="M33" s="30" t="str">
        <x:v>Executed during final QA cycle on 2026-09-10; screenshot evidence captured. Final result: PASS.</x:v>
      </x:c>
    </x:row>
    <x:row r="34">
      <x:c r="A34" s="30" t="str">
        <x:v>TC-IN-005</x:v>
      </x:c>
      <x:c r="B34" s="30" t="str">
        <x:v>TS-IN-005</x:v>
      </x:c>
      <x:c r="C34" s="30" t="str">
        <x:v>Stock In</x:v>
      </x:c>
      <x:c r="D34" s="30" t="str">
        <x:v>User is authenticated; at least one valid product exists and Stock In module is accessible.</x:v>
      </x:c>
      <x:c r="E34" s="30" t="str">
        <x:v>1. Create a valid stock-in transaction.
2. Open Transaction History.
3. Locate the newly created transaction.
4. Compare key details.</x:v>
      </x:c>
      <x:c r="F34" s="30" t="str">
        <x:v>Valid stock-in transaction</x:v>
      </x:c>
      <x:c r="G34" s="30" t="str">
        <x:v>The stock-in transaction appears in history with consistent information.</x:v>
      </x:c>
      <x:c r="H34" s="30" t="str">
        <x:v>Observed behavior matched the expected result during final manual execution: The stock-in transaction appears in history with consistent information.</x:v>
      </x:c>
      <x:c r="I34" s="30" t="str">
        <x:v>Pass</x:v>
      </x:c>
      <x:c r="J34" s="30" t="str">
        <x:v>Functional</x:v>
      </x:c>
      <x:c r="K34" s="30" t="str">
        <x:v>Critical</x:v>
      </x:c>
      <x:c r="L34" s="30" t="str">
        <x:v>06-Evidence/Stock-In/TC-IN-005.png</x:v>
      </x:c>
      <x:c r="M34" s="30" t="str">
        <x:v>Executed during final QA cycle on 2026-09-10; screenshot evidence captured. Final result: PASS.</x:v>
      </x:c>
    </x:row>
    <x:row r="35">
      <x:c r="A35" s="30" t="str">
        <x:v>TC-IN-006</x:v>
      </x:c>
      <x:c r="B35" s="30" t="str">
        <x:v>TS-IN-006</x:v>
      </x:c>
      <x:c r="C35" s="30" t="str">
        <x:v>Stock In</x:v>
      </x:c>
      <x:c r="D35" s="30" t="str">
        <x:v>User is authenticated; at least one valid product exists and Stock In module is accessible.</x:v>
      </x:c>
      <x:c r="E35" s="30" t="str">
        <x:v>1. Create a valid stock-in transaction including required batch information.
2. Open batch list/detail.
3. Locate the related batch.
4. Compare batch data.</x:v>
      </x:c>
      <x:c r="F35" s="30" t="str">
        <x:v>Valid stock-in data that creates/updates a batch</x:v>
      </x:c>
      <x:c r="G35" s="30" t="str">
        <x:v>Related batch information is stored and displayed correctly.</x:v>
      </x:c>
      <x:c r="H35" s="30" t="str">
        <x:v>Observed behavior matched the expected result during final manual execution: Related batch information is stored and displayed correctly.</x:v>
      </x:c>
      <x:c r="I35" s="30" t="str">
        <x:v>Pass</x:v>
      </x:c>
      <x:c r="J35" s="30" t="str">
        <x:v>Functional</x:v>
      </x:c>
      <x:c r="K35" s="30" t="str">
        <x:v>Critical</x:v>
      </x:c>
      <x:c r="L35" s="30" t="str">
        <x:v>06-Evidence/Stock-In/TC-IN-006.png</x:v>
      </x:c>
      <x:c r="M35" s="30" t="str">
        <x:v>Executed during final QA cycle on 2026-09-10; screenshot evidence captured. Final result: PASS.</x:v>
      </x:c>
    </x:row>
    <x:row r="36">
      <x:c r="A36" s="30" t="str">
        <x:v>TC-IN-007</x:v>
      </x:c>
      <x:c r="B36" s="30" t="str">
        <x:v>TS-IN-007</x:v>
      </x:c>
      <x:c r="C36" s="30" t="str">
        <x:v>Stock In</x:v>
      </x:c>
      <x:c r="D36" s="30" t="str">
        <x:v>User is authenticated; at least one valid product exists and Stock In module is accessible.</x:v>
      </x:c>
      <x:c r="E36" s="30" t="str">
        <x:v>1. Record initial stock.
2. Submit multiple valid stock-in transactions.
3. Open the resulting inventory/product.
4. Calculate and compare expected total.</x:v>
      </x:c>
      <x:c r="F36" s="30" t="str">
        <x:v>Known initial stock; two or more valid stock-in transactions</x:v>
      </x:c>
      <x:c r="G36" s="30" t="str">
        <x:v>Final stock equals initial stock plus the sum of all successful stock-in quantities.</x:v>
      </x:c>
      <x:c r="H36" s="30" t="str">
        <x:v>Observed behavior matched the expected result during final manual execution: Final stock equals initial stock plus the sum of all successful stock-in quantities.</x:v>
      </x:c>
      <x:c r="I36" s="30" t="str">
        <x:v>Pass</x:v>
      </x:c>
      <x:c r="J36" s="30" t="str">
        <x:v>Functional</x:v>
      </x:c>
      <x:c r="K36" s="30" t="str">
        <x:v>High</x:v>
      </x:c>
      <x:c r="L36" s="30" t="str">
        <x:v>06-Evidence/Stock-In/TC-IN-007.png</x:v>
      </x:c>
      <x:c r="M36" s="30" t="str">
        <x:v>Executed during final QA cycle on 2026-09-10; screenshot evidence captured. Final result: PASS.</x:v>
      </x:c>
    </x:row>
    <x:row r="37">
      <x:c r="A37" s="30" t="str">
        <x:v>TC-IN-008</x:v>
      </x:c>
      <x:c r="B37" s="30" t="str">
        <x:v>TS-IN-008</x:v>
      </x:c>
      <x:c r="C37" s="30" t="str">
        <x:v>Stock In</x:v>
      </x:c>
      <x:c r="D37" s="30" t="str">
        <x:v>User is authenticated; at least one valid product exists and Stock In module is accessible.</x:v>
      </x:c>
      <x:c r="E37" s="30" t="str">
        <x:v>1. Open Stock In.
2. Select a product.
3. Enter quantity 1 and other required valid data.
4. Submit.</x:v>
      </x:c>
      <x:c r="F37" s="30" t="str">
        <x:v>Quantity = 1 (minimum positive quantity)</x:v>
      </x:c>
      <x:c r="G37" s="30" t="str">
        <x:v>The minimum valid positive quantity is accepted and stock increases by 1.</x:v>
      </x:c>
      <x:c r="H37" s="30" t="str">
        <x:v>Observed behavior matched the expected result during final manual execution: The minimum valid positive quantity is accepted and stock increases by 1.</x:v>
      </x:c>
      <x:c r="I37" s="30" t="str">
        <x:v>Pass</x:v>
      </x:c>
      <x:c r="J37" s="30" t="str">
        <x:v>Boundary</x:v>
      </x:c>
      <x:c r="K37" s="30" t="str">
        <x:v>High</x:v>
      </x:c>
      <x:c r="L37" s="30" t="str">
        <x:v>06-Evidence/Stock-In/TC-IN-008.png</x:v>
      </x:c>
      <x:c r="M37" s="30" t="str">
        <x:v>Executed during final QA cycle on 2026-09-10; screenshot evidence captured. Final result: PASS.</x:v>
      </x:c>
    </x:row>
    <x:row r="38">
      <x:c r="A38" s="30" t="str">
        <x:v>TC-IN-009</x:v>
      </x:c>
      <x:c r="B38" s="30" t="str">
        <x:v>TS-IN-009</x:v>
      </x:c>
      <x:c r="C38" s="30" t="str">
        <x:v>Stock In</x:v>
      </x:c>
      <x:c r="D38" s="30" t="str">
        <x:v>User is authenticated; at least one valid product exists and Stock In module is accessible.</x:v>
      </x:c>
      <x:c r="E38" s="30" t="str">
        <x:v>1. Open Stock In.
2. Select a product.
3. Enter quantity 0.
4. Attempt to submit.</x:v>
      </x:c>
      <x:c r="F38" s="30" t="str">
        <x:v>Quantity = 0</x:v>
      </x:c>
      <x:c r="G38" s="30" t="str">
        <x:v>Zero quantity is rejected or prevented from creating an invalid transaction.</x:v>
      </x:c>
      <x:c r="H38" s="30" t="str">
        <x:v>Observed behavior matched the expected result during final manual execution: Zero quantity is rejected or prevented from creating an invalid transaction.</x:v>
      </x:c>
      <x:c r="I38" s="30" t="str">
        <x:v>Pass</x:v>
      </x:c>
      <x:c r="J38" s="30" t="str">
        <x:v>Boundary/Negative</x:v>
      </x:c>
      <x:c r="K38" s="30" t="str">
        <x:v>High</x:v>
      </x:c>
      <x:c r="L38" s="30" t="str">
        <x:v>06-Evidence/Stock-In/TC-IN-009.png</x:v>
      </x:c>
      <x:c r="M38" s="30" t="str">
        <x:v>Executed during final QA cycle on 2026-09-10; screenshot evidence captured. Final result: PASS.</x:v>
      </x:c>
    </x:row>
    <x:row r="39">
      <x:c r="A39" s="30" t="str">
        <x:v>TC-OUT-001</x:v>
      </x:c>
      <x:c r="B39" s="30" t="str">
        <x:v>TS-OUT-001</x:v>
      </x:c>
      <x:c r="C39" s="30" t="str">
        <x:v>Stock Out</x:v>
      </x:c>
      <x:c r="D39" s="30" t="str">
        <x:v>User is authenticated; at least one product with available stock exists and Stock Out is accessible.</x:v>
      </x:c>
      <x:c r="E39" s="30" t="str">
        <x:v>1. Open Stock Out.
2. Select/scan a product.
3. Enter a valid quantity within available stock.
4. Confirm the transaction.</x:v>
      </x:c>
      <x:c r="F39" s="30" t="str">
        <x:v>Product with sufficient stock; valid stock-out quantity</x:v>
      </x:c>
      <x:c r="G39" s="30" t="str">
        <x:v>A valid stock-out transaction is created successfully.</x:v>
      </x:c>
      <x:c r="H39" s="30" t="str">
        <x:v>Observed behavior matched the expected result during final manual execution: A valid stock-out transaction is created successfully.</x:v>
      </x:c>
      <x:c r="I39" s="30" t="str">
        <x:v>Pass</x:v>
      </x:c>
      <x:c r="J39" s="30" t="str">
        <x:v>Positive</x:v>
      </x:c>
      <x:c r="K39" s="30" t="str">
        <x:v>Critical</x:v>
      </x:c>
      <x:c r="L39" s="30" t="str">
        <x:v>06-Evidence/Stock-Out/TC-OUT-001.png</x:v>
      </x:c>
      <x:c r="M39" s="30" t="str">
        <x:v>Executed during final QA cycle on 2026-09-10; screenshot evidence captured. Final result: PASS.</x:v>
      </x:c>
    </x:row>
    <x:row r="40">
      <x:c r="A40" s="30" t="str">
        <x:v>TC-OUT-002</x:v>
      </x:c>
      <x:c r="B40" s="30" t="str">
        <x:v>TS-OUT-002</x:v>
      </x:c>
      <x:c r="C40" s="30" t="str">
        <x:v>Stock Out</x:v>
      </x:c>
      <x:c r="D40" s="30" t="str">
        <x:v>User is authenticated; at least one product with available stock exists and Stock Out is accessible.</x:v>
      </x:c>
      <x:c r="E40" s="30" t="str">
        <x:v>1. Record current stock S.
2. Create a stock-out transaction for Q.
3. Open inventory/product data.
4. Compare new stock.</x:v>
      </x:c>
      <x:c r="F40" s="30" t="str">
        <x:v>Known initial stock S; valid outgoing quantity Q where Q &lt;= S</x:v>
      </x:c>
      <x:c r="G40" s="30" t="str">
        <x:v>New stock equals S minus Q.</x:v>
      </x:c>
      <x:c r="H40" s="30" t="str">
        <x:v>Observed behavior matched the expected result during final manual execution: New stock equals S minus Q.</x:v>
      </x:c>
      <x:c r="I40" s="30" t="str">
        <x:v>Pass</x:v>
      </x:c>
      <x:c r="J40" s="30" t="str">
        <x:v>Functional</x:v>
      </x:c>
      <x:c r="K40" s="30" t="str">
        <x:v>Critical</x:v>
      </x:c>
      <x:c r="L40" s="30" t="str">
        <x:v>06-Evidence/Stock-Out/TC-OUT-002.png</x:v>
      </x:c>
      <x:c r="M40" s="30" t="str">
        <x:v>Executed during final QA cycle on 2026-09-10; screenshot evidence captured. Final result: PASS.</x:v>
      </x:c>
    </x:row>
    <x:row r="41">
      <x:c r="A41" s="30" t="str">
        <x:v>TC-OUT-003</x:v>
      </x:c>
      <x:c r="B41" s="30" t="str">
        <x:v>TS-OUT-003</x:v>
      </x:c>
      <x:c r="C41" s="30" t="str">
        <x:v>Stock Out</x:v>
      </x:c>
      <x:c r="D41" s="30" t="str">
        <x:v>User is authenticated; at least one product with available stock exists and Stock Out is accessible.</x:v>
      </x:c>
      <x:c r="E41" s="30" t="str">
        <x:v>1. Create a valid stock-out transaction.
2. Open Transaction History.
3. Locate the transaction.
4. Compare transaction details.</x:v>
      </x:c>
      <x:c r="F41" s="30" t="str">
        <x:v>Valid stock-out transaction</x:v>
      </x:c>
      <x:c r="G41" s="30" t="str">
        <x:v>The stock-out transaction appears in history with consistent information.</x:v>
      </x:c>
      <x:c r="H41" s="30" t="str">
        <x:v>Observed behavior matched the expected result during final manual execution: The stock-out transaction appears in history with consistent information.</x:v>
      </x:c>
      <x:c r="I41" s="30" t="str">
        <x:v>Pass</x:v>
      </x:c>
      <x:c r="J41" s="30" t="str">
        <x:v>Functional</x:v>
      </x:c>
      <x:c r="K41" s="30" t="str">
        <x:v>Critical</x:v>
      </x:c>
      <x:c r="L41" s="30" t="str">
        <x:v>06-Evidence/Stock-Out/TC-OUT-003.png</x:v>
      </x:c>
      <x:c r="M41" s="30" t="str">
        <x:v>Executed during final QA cycle on 2026-09-10; screenshot evidence captured. Final result: PASS.</x:v>
      </x:c>
    </x:row>
    <x:row r="42">
      <x:c r="A42" s="30" t="str">
        <x:v>TC-OUT-004</x:v>
      </x:c>
      <x:c r="B42" s="30" t="str">
        <x:v>TS-OUT-004</x:v>
      </x:c>
      <x:c r="C42" s="30" t="str">
        <x:v>Stock Out</x:v>
      </x:c>
      <x:c r="D42" s="30" t="str">
        <x:v>User is authenticated; at least one product with available stock exists and Stock Out is accessible.</x:v>
      </x:c>
      <x:c r="E42" s="30" t="str">
        <x:v>1. Record available stock.
2. Open Stock Out.
3. Enter a quantity greater than available stock.
4. Attempt to confirm.</x:v>
      </x:c>
      <x:c r="F42" s="30" t="str">
        <x:v>Available stock S; requested quantity greater than S</x:v>
      </x:c>
      <x:c r="G42" s="30" t="str">
        <x:v>The transaction is rejected and available stock is not reduced.</x:v>
      </x:c>
      <x:c r="H42" s="30" t="str">
        <x:v>Observed behavior matched the expected result during final manual execution: The transaction is rejected and available stock is not reduced.</x:v>
      </x:c>
      <x:c r="I42" s="30" t="str">
        <x:v>Pass</x:v>
      </x:c>
      <x:c r="J42" s="30" t="str">
        <x:v>Negative</x:v>
      </x:c>
      <x:c r="K42" s="30" t="str">
        <x:v>Critical</x:v>
      </x:c>
      <x:c r="L42" s="30" t="str">
        <x:v>06-Evidence/Stock-Out/TC-OUT-004.png</x:v>
      </x:c>
      <x:c r="M42" s="30" t="str">
        <x:v>Executed during final QA cycle on 2026-09-10; screenshot evidence captured. Final result: PASS.</x:v>
      </x:c>
    </x:row>
    <x:row r="43">
      <x:c r="A43" s="30" t="str">
        <x:v>TC-OUT-005</x:v>
      </x:c>
      <x:c r="B43" s="30" t="str">
        <x:v>TS-OUT-005</x:v>
      </x:c>
      <x:c r="C43" s="30" t="str">
        <x:v>Stock Out</x:v>
      </x:c>
      <x:c r="D43" s="30" t="str">
        <x:v>User is authenticated; at least one product with available stock exists and Stock Out is accessible.</x:v>
      </x:c>
      <x:c r="E43" s="30" t="str">
        <x:v>1. Open Stock Out.
2. Select/scan a product.
3. Enter quantity 0.
4. Attempt to confirm.</x:v>
      </x:c>
      <x:c r="F43" s="30" t="str">
        <x:v>Quantity = 0</x:v>
      </x:c>
      <x:c r="G43" s="30" t="str">
        <x:v>Zero quantity is rejected and no stock-out transaction is created.</x:v>
      </x:c>
      <x:c r="H43" s="30" t="str">
        <x:v>Observed behavior matched the expected result during final manual execution: Zero quantity is rejected and no stock-out transaction is created.</x:v>
      </x:c>
      <x:c r="I43" s="30" t="str">
        <x:v>Pass</x:v>
      </x:c>
      <x:c r="J43" s="30" t="str">
        <x:v>Boundary</x:v>
      </x:c>
      <x:c r="K43" s="30" t="str">
        <x:v>High</x:v>
      </x:c>
      <x:c r="L43" s="30" t="str">
        <x:v>06-Evidence/Stock-Out/TC-OUT-005.png</x:v>
      </x:c>
      <x:c r="M43" s="30" t="str">
        <x:v>Executed during final QA cycle on 2026-09-10; screenshot evidence captured. Final result: PASS.</x:v>
      </x:c>
    </x:row>
    <x:row r="44">
      <x:c r="A44" s="30" t="str">
        <x:v>TC-OUT-006</x:v>
      </x:c>
      <x:c r="B44" s="30" t="str">
        <x:v>TS-OUT-006</x:v>
      </x:c>
      <x:c r="C44" s="30" t="str">
        <x:v>Stock Out</x:v>
      </x:c>
      <x:c r="D44" s="30" t="str">
        <x:v>User is authenticated; at least one product with available stock exists and Stock Out is accessible.</x:v>
      </x:c>
      <x:c r="E44" s="30" t="str">
        <x:v>1. Record available stock S.
2. Create stock-out for quantity exactly S.
3. Confirm transaction.
4. Check final stock.</x:v>
      </x:c>
      <x:c r="F44" s="30" t="str">
        <x:v>Requested quantity exactly equal to available stock</x:v>
      </x:c>
      <x:c r="G44" s="30" t="str">
        <x:v>Transaction succeeds and final available stock becomes 0.</x:v>
      </x:c>
      <x:c r="H44" s="30" t="str">
        <x:v>Observed behavior matched the expected result during final manual execution: Transaction succeeds and final available stock becomes 0.</x:v>
      </x:c>
      <x:c r="I44" s="30" t="str">
        <x:v>Pass</x:v>
      </x:c>
      <x:c r="J44" s="30" t="str">
        <x:v>Boundary</x:v>
      </x:c>
      <x:c r="K44" s="30" t="str">
        <x:v>Critical</x:v>
      </x:c>
      <x:c r="L44" s="30" t="str">
        <x:v>06-Evidence/Stock-Out/TC-OUT-006.png</x:v>
      </x:c>
      <x:c r="M44" s="30" t="str">
        <x:v>Executed during final QA cycle on 2026-09-10; screenshot evidence captured. Final result: PASS.</x:v>
      </x:c>
    </x:row>
    <x:row r="45">
      <x:c r="A45" s="30" t="str">
        <x:v>TC-OUT-007</x:v>
      </x:c>
      <x:c r="B45" s="30" t="str">
        <x:v>TS-OUT-007</x:v>
      </x:c>
      <x:c r="C45" s="30" t="str">
        <x:v>Stock Out</x:v>
      </x:c>
      <x:c r="D45" s="30" t="str">
        <x:v>User is authenticated; at least one product with available stock exists and Stock Out is accessible.</x:v>
      </x:c>
      <x:c r="E45" s="30" t="str">
        <x:v>1. Open Stock Out.
2. Leave required field(s) empty.
3. Attempt to submit.</x:v>
      </x:c>
      <x:c r="F45" s="30" t="str">
        <x:v>One or more required stock-out fields left blank</x:v>
      </x:c>
      <x:c r="G45" s="30" t="str">
        <x:v>Required-field validation prevents the transaction.</x:v>
      </x:c>
      <x:c r="H45" s="30" t="str">
        <x:v>Observed behavior matched the expected result during final manual execution: Required-field validation prevents the transaction.</x:v>
      </x:c>
      <x:c r="I45" s="30" t="str">
        <x:v>Pass</x:v>
      </x:c>
      <x:c r="J45" s="30" t="str">
        <x:v>Validation</x:v>
      </x:c>
      <x:c r="K45" s="30" t="str">
        <x:v>High</x:v>
      </x:c>
      <x:c r="L45" s="30" t="str">
        <x:v>06-Evidence/Stock-Out/TC-OUT-007.png</x:v>
      </x:c>
      <x:c r="M45" s="30" t="str">
        <x:v>Executed during final QA cycle on 2026-09-10; screenshot evidence captured. Final result: PASS.</x:v>
      </x:c>
    </x:row>
    <x:row r="46">
      <x:c r="A46" s="30" t="str">
        <x:v>TC-OUT-008</x:v>
      </x:c>
      <x:c r="B46" s="30" t="str">
        <x:v>TS-OUT-008</x:v>
      </x:c>
      <x:c r="C46" s="30" t="str">
        <x:v>Stock Out</x:v>
      </x:c>
      <x:c r="D46" s="30" t="str">
        <x:v>User is authenticated; at least one product with available stock exists and Stock Out is accessible.</x:v>
      </x:c>
      <x:c r="E46" s="30" t="str">
        <x:v>1. Open Stock Out.
2. Select/scan product.
3. Enter invalid quantity.
4. Attempt to confirm.</x:v>
      </x:c>
      <x:c r="F46" s="30" t="str">
        <x:v>Invalid quantity such as negative/non-numeric where not allowed</x:v>
      </x:c>
      <x:c r="G46" s="30" t="str">
        <x:v>Invalid quantity is rejected and stock remains unchanged.</x:v>
      </x:c>
      <x:c r="H46" s="30" t="str">
        <x:v>Observed behavior matched the expected result during final manual execution: Invalid quantity is rejected and stock remains unchanged.</x:v>
      </x:c>
      <x:c r="I46" s="30" t="str">
        <x:v>Pass</x:v>
      </x:c>
      <x:c r="J46" s="30" t="str">
        <x:v>Negative</x:v>
      </x:c>
      <x:c r="K46" s="30" t="str">
        <x:v>High</x:v>
      </x:c>
      <x:c r="L46" s="30" t="str">
        <x:v>06-Evidence/Stock-Out/TC-OUT-008.png</x:v>
      </x:c>
      <x:c r="M46" s="30" t="str">
        <x:v>Executed during final QA cycle on 2026-09-10; screenshot evidence captured. Final result: PASS.</x:v>
      </x:c>
    </x:row>
    <x:row r="47">
      <x:c r="A47" s="30" t="str">
        <x:v>TC-OUT-009</x:v>
      </x:c>
      <x:c r="B47" s="30" t="str">
        <x:v>TS-OUT-009</x:v>
      </x:c>
      <x:c r="C47" s="30" t="str">
        <x:v>Stock Out</x:v>
      </x:c>
      <x:c r="D47" s="30" t="str">
        <x:v>User is authenticated; at least one product with available stock exists and Stock Out is accessible.</x:v>
      </x:c>
      <x:c r="E47" s="30" t="str">
        <x:v>1. Record relevant batch quantities/order.
2. Create a valid stock-out transaction.
3. Open batch details.
4. Identify which batch(es) were reduced.
5. Compare with the application's batch rule.</x:v>
      </x:c>
      <x:c r="F47" s="30" t="str">
        <x:v>Product with multiple available batches; known batch quantities/order</x:v>
      </x:c>
      <x:c r="G47" s="30" t="str">
        <x:v>The stock-out affects the correct batch(es) according to the implemented inventory rule and quantities remain consistent.</x:v>
      </x:c>
      <x:c r="H47" s="30" t="str">
        <x:v>Observed behavior matched the expected result during final manual execution: The stock-out affects the correct batch(es) according to the implemented inventory rule and quantities remain consistent.</x:v>
      </x:c>
      <x:c r="I47" s="30" t="str">
        <x:v>Pass</x:v>
      </x:c>
      <x:c r="J47" s="30" t="str">
        <x:v>Functional</x:v>
      </x:c>
      <x:c r="K47" s="30" t="str">
        <x:v>Critical</x:v>
      </x:c>
      <x:c r="L47" s="30" t="str">
        <x:v>06-Evidence/Stock-Out/TC-OUT-009.png</x:v>
      </x:c>
      <x:c r="M47" s="30" t="str">
        <x:v>Executed during final QA cycle on 2026-09-10; screenshot evidence captured. Final result: PASS.</x:v>
      </x:c>
    </x:row>
    <x:row r="48">
      <x:c r="A48" s="30" t="str">
        <x:v>TC-OUT-010</x:v>
      </x:c>
      <x:c r="B48" s="30" t="str">
        <x:v>TS-OUT-010</x:v>
      </x:c>
      <x:c r="C48" s="30" t="str">
        <x:v>Stock Out</x:v>
      </x:c>
      <x:c r="D48" s="30" t="str">
        <x:v>User is authenticated; at least one product with available stock exists and Stock Out is accessible.</x:v>
      </x:c>
      <x:c r="E48" s="30" t="str">
        <x:v>1. Record available stock.
2. Attempt outgoing quantities at and above the stock limit.
3. Complete allowed transactions.
4. Check final inventory.</x:v>
      </x:c>
      <x:c r="F48" s="30" t="str">
        <x:v>Available stock S; test valid/invalid outgoing quantities around S</x:v>
      </x:c>
      <x:c r="G48" s="30" t="str">
        <x:v>Inventory never becomes negative under any tested stock-out condition.</x:v>
      </x:c>
      <x:c r="H48" s="30" t="str">
        <x:v>Observed behavior matched the expected result during final manual execution: Inventory never becomes negative under any tested stock-out condition.</x:v>
      </x:c>
      <x:c r="I48" s="30" t="str">
        <x:v>Pass</x:v>
      </x:c>
      <x:c r="J48" s="30" t="str">
        <x:v>Negative</x:v>
      </x:c>
      <x:c r="K48" s="30" t="str">
        <x:v>Critical</x:v>
      </x:c>
      <x:c r="L48" s="30" t="str">
        <x:v>06-Evidence/Stock-Out/TC-OUT-010.png</x:v>
      </x:c>
      <x:c r="M48" s="30" t="str">
        <x:v>Executed during final QA cycle on 2026-09-10; screenshot evidence captured. Final result: PASS.</x:v>
      </x:c>
    </x:row>
    <x:row r="49">
      <x:c r="A49" s="30" t="str">
        <x:v>TC-SCAN-001</x:v>
      </x:c>
      <x:c r="B49" s="30" t="str">
        <x:v>TS-SCAN-001</x:v>
      </x:c>
      <x:c r="C49" s="30" t="str">
        <x:v>Scanner</x:v>
      </x:c>
      <x:c r="D49" s="30" t="str">
        <x:v>User is authenticated; scanning function is accessible; device/emulator camera permission is available where required.</x:v>
      </x:c>
      <x:c r="E49" s="30" t="str">
        <x:v>1. Open Scanner.
2. Scan a valid product code.
3. Wait for recognition.</x:v>
      </x:c>
      <x:c r="F49" s="30" t="str">
        <x:v>Valid QR/barcode linked to an existing product</x:v>
      </x:c>
      <x:c r="G49" s="30" t="str">
        <x:v>The scanner recognizes the code and continues to the intended product/stock-out flow.</x:v>
      </x:c>
      <x:c r="H49" s="30" t="str">
        <x:v>Observed behavior matched the expected result during final manual execution: The scanner recognizes the code and continues to the intended product/stock-out flow.</x:v>
      </x:c>
      <x:c r="I49" s="30" t="str">
        <x:v>Pass</x:v>
      </x:c>
      <x:c r="J49" s="30" t="str">
        <x:v>Positive</x:v>
      </x:c>
      <x:c r="K49" s="30" t="str">
        <x:v>High</x:v>
      </x:c>
      <x:c r="L49" s="30" t="str">
        <x:v>06-Evidence/Scanner/TC-SCAN-001.png</x:v>
      </x:c>
      <x:c r="M49" s="30" t="str">
        <x:v>Executed during final QA cycle on 2026-09-10; screenshot evidence captured. Final result: PASS.</x:v>
      </x:c>
    </x:row>
    <x:row r="50">
      <x:c r="A50" s="30" t="str">
        <x:v>TC-SCAN-002</x:v>
      </x:c>
      <x:c r="B50" s="30" t="str">
        <x:v>TS-SCAN-002</x:v>
      </x:c>
      <x:c r="C50" s="30" t="str">
        <x:v>Scanner</x:v>
      </x:c>
      <x:c r="D50" s="30" t="str">
        <x:v>User is authenticated; scanning function is accessible; device/emulator camera permission is available where required.</x:v>
      </x:c>
      <x:c r="E50" s="30" t="str">
        <x:v>1. Scan a known product code.
2. Observe the product information shown.
3. Compare with Product Management data.</x:v>
      </x:c>
      <x:c r="F50" s="30" t="str">
        <x:v>Valid code for a known product</x:v>
      </x:c>
      <x:c r="G50" s="30" t="str">
        <x:v>Displayed product information matches the scanned product.</x:v>
      </x:c>
      <x:c r="H50" s="30" t="str">
        <x:v>Observed behavior matched the expected result during final manual execution: Displayed product information matches the scanned product.</x:v>
      </x:c>
      <x:c r="I50" s="30" t="str">
        <x:v>Pass</x:v>
      </x:c>
      <x:c r="J50" s="30" t="str">
        <x:v>Functional</x:v>
      </x:c>
      <x:c r="K50" s="30" t="str">
        <x:v>High</x:v>
      </x:c>
      <x:c r="L50" s="30" t="str">
        <x:v>06-Evidence/Scanner/TC-SCAN-002.png</x:v>
      </x:c>
      <x:c r="M50" s="30" t="str">
        <x:v>Executed during final QA cycle on 2026-09-10; screenshot evidence captured. Final result: PASS.</x:v>
      </x:c>
    </x:row>
    <x:row r="51">
      <x:c r="A51" s="30" t="str">
        <x:v>TC-SCAN-003</x:v>
      </x:c>
      <x:c r="B51" s="30" t="str">
        <x:v>TS-SCAN-003</x:v>
      </x:c>
      <x:c r="C51" s="30" t="str">
        <x:v>Scanner</x:v>
      </x:c>
      <x:c r="D51" s="30" t="str">
        <x:v>User is authenticated; scanning function is accessible; device/emulator camera permission is available where required.</x:v>
      </x:c>
      <x:c r="E51" s="30" t="str">
        <x:v>1. Open Scanner.
2. Scan an unknown/unregistered code.
3. Observe response.</x:v>
      </x:c>
      <x:c r="F51" s="30" t="str">
        <x:v>Well-formed code not linked to any product</x:v>
      </x:c>
      <x:c r="G51" s="30" t="str">
        <x:v>The application safely indicates that the product/code is not found and does not select an unrelated product.</x:v>
      </x:c>
      <x:c r="H51" s="30" t="str">
        <x:v>When an unknown/unregistered QR code is scanned, the application shows a raw Cloud Firestore assertion error stating that a document path must not contain "//", instead of a user-friendly validation message.</x:v>
      </x:c>
      <x:c r="I51" s="30" t="str">
        <x:v>Fail</x:v>
      </x:c>
      <x:c r="J51" s="30" t="str">
        <x:v>Negative</x:v>
      </x:c>
      <x:c r="K51" s="30" t="str">
        <x:v>High</x:v>
      </x:c>
      <x:c r="L51" s="30" t="str">
        <x:v>06-Evidence/Scanner/TC-SCAN-003.png</x:v>
      </x:c>
      <x:c r="M51" s="30" t="str">
        <x:v>Linked defect: BUG-001. Unknown QR handling exposes an internal Firestore assertion error.</x:v>
      </x:c>
    </x:row>
    <x:row r="52">
      <x:c r="A52" s="30" t="str">
        <x:v>TC-SCAN-004</x:v>
      </x:c>
      <x:c r="B52" s="30" t="str">
        <x:v>TS-SCAN-004</x:v>
      </x:c>
      <x:c r="C52" s="30" t="str">
        <x:v>Scanner</x:v>
      </x:c>
      <x:c r="D52" s="30" t="str">
        <x:v>User is authenticated; scanning function is accessible; device/emulator camera permission is available where required.</x:v>
      </x:c>
      <x:c r="E52" s="30" t="str">
        <x:v>1. Open Scanner.
2. Present invalid or unreadable input.
3. Observe application behavior.
4. Try to exit/retry.</x:v>
      </x:c>
      <x:c r="F52" s="30" t="str">
        <x:v>Unreadable/invalid code or non-code image</x:v>
      </x:c>
      <x:c r="G52" s="30" t="str">
        <x:v>The application does not crash and allows safe retry/exit.</x:v>
      </x:c>
      <x:c r="H52" s="30" t="str">
        <x:v>Observed behavior matched the expected result during final manual execution: The application does not crash and allows safe retry/exit.</x:v>
      </x:c>
      <x:c r="I52" s="30" t="str">
        <x:v>Pass</x:v>
      </x:c>
      <x:c r="J52" s="30" t="str">
        <x:v>Negative</x:v>
      </x:c>
      <x:c r="K52" s="30" t="str">
        <x:v>Medium</x:v>
      </x:c>
      <x:c r="L52" s="30" t="str">
        <x:v>06-Evidence/Scanner/TC-SCAN-004.png</x:v>
      </x:c>
      <x:c r="M52" s="30" t="str">
        <x:v>Executed during final QA cycle on 2026-09-10; screenshot evidence captured. Final result: PASS.</x:v>
      </x:c>
    </x:row>
    <x:row r="53">
      <x:c r="A53" s="30" t="str">
        <x:v>TC-SCAN-005</x:v>
      </x:c>
      <x:c r="B53" s="30" t="str">
        <x:v>TS-SCAN-005</x:v>
      </x:c>
      <x:c r="C53" s="30" t="str">
        <x:v>Scanner</x:v>
      </x:c>
      <x:c r="D53" s="30" t="str">
        <x:v>User is authenticated; scanning function is accessible; device/emulator camera permission is available where required.</x:v>
      </x:c>
      <x:c r="E53" s="30" t="str">
        <x:v>1. Scan product code A.
2. Record selected product.
3. Return/retry and scan product code B.
4. Compare selection.</x:v>
      </x:c>
      <x:c r="F53" s="30" t="str">
        <x:v>Two distinct product codes</x:v>
      </x:c>
      <x:c r="G53" s="30" t="str">
        <x:v>Each scan selects only the product linked to that code; no incorrect product is selected.</x:v>
      </x:c>
      <x:c r="H53" s="30" t="str">
        <x:v>Observed behavior matched the expected result during final manual execution: Each scan selects only the product linked to that code; no incorrect product is selected.</x:v>
      </x:c>
      <x:c r="I53" s="30" t="str">
        <x:v>Pass</x:v>
      </x:c>
      <x:c r="J53" s="30" t="str">
        <x:v>Functional</x:v>
      </x:c>
      <x:c r="K53" s="30" t="str">
        <x:v>High</x:v>
      </x:c>
      <x:c r="L53" s="30" t="str">
        <x:v>06-Evidence/Scanner/TC-SCAN-005.png</x:v>
      </x:c>
      <x:c r="M53" s="30" t="str">
        <x:v>Executed during final QA cycle on 2026-09-10; screenshot evidence captured. Final result: PASS.</x:v>
      </x:c>
    </x:row>
    <x:row r="54">
      <x:c r="A54" s="30" t="str">
        <x:v>TC-HIST-001</x:v>
      </x:c>
      <x:c r="B54" s="30" t="str">
        <x:v>TS-HIST-001</x:v>
      </x:c>
      <x:c r="C54" s="30" t="str">
        <x:v>History</x:v>
      </x:c>
      <x:c r="D54" s="30" t="str">
        <x:v>User is authenticated and Transaction History is accessible.</x:v>
      </x:c>
      <x:c r="E54" s="30" t="str">
        <x:v>1. Open Transaction History.
2. Wait for records to load.
3. Observe list.</x:v>
      </x:c>
      <x:c r="F54" s="30" t="str">
        <x:v>Existing transaction records</x:v>
      </x:c>
      <x:c r="G54" s="30" t="str">
        <x:v>Transaction history is displayed successfully.</x:v>
      </x:c>
      <x:c r="H54" s="30" t="str">
        <x:v>Observed behavior matched the expected result during final manual execution: Transaction history is displayed successfully.</x:v>
      </x:c>
      <x:c r="I54" s="30" t="str">
        <x:v>Pass</x:v>
      </x:c>
      <x:c r="J54" s="30" t="str">
        <x:v>Functional</x:v>
      </x:c>
      <x:c r="K54" s="30" t="str">
        <x:v>High</x:v>
      </x:c>
      <x:c r="L54" s="30" t="str">
        <x:v>06-Evidence/History/TC-HIST-001.png</x:v>
      </x:c>
      <x:c r="M54" s="30" t="str">
        <x:v>Executed during final QA cycle on 2026-09-10; screenshot evidence captured. Final result: PASS.</x:v>
      </x:c>
    </x:row>
    <x:row r="55">
      <x:c r="A55" s="30" t="str">
        <x:v>TC-HIST-002</x:v>
      </x:c>
      <x:c r="B55" s="30" t="str">
        <x:v>TS-HIST-002</x:v>
      </x:c>
      <x:c r="C55" s="30" t="str">
        <x:v>History</x:v>
      </x:c>
      <x:c r="D55" s="30" t="str">
        <x:v>User is authenticated and Transaction History is accessible.</x:v>
      </x:c>
      <x:c r="E55" s="30" t="str">
        <x:v>1. Create a stock-in transaction.
2. Open/refresh History.
3. Locate the transaction.</x:v>
      </x:c>
      <x:c r="F55" s="30" t="str">
        <x:v>New valid stock-in transaction</x:v>
      </x:c>
      <x:c r="G55" s="30" t="str">
        <x:v>The new stock-in transaction appears in history.</x:v>
      </x:c>
      <x:c r="H55" s="30" t="str">
        <x:v>Observed behavior matched the expected result during final manual execution: The new stock-in transaction appears in history.</x:v>
      </x:c>
      <x:c r="I55" s="30" t="str">
        <x:v>Pass</x:v>
      </x:c>
      <x:c r="J55" s="30" t="str">
        <x:v>Functional</x:v>
      </x:c>
      <x:c r="K55" s="30" t="str">
        <x:v>High</x:v>
      </x:c>
      <x:c r="L55" s="30" t="str">
        <x:v>06-Evidence/History/TC-HIST-002.png</x:v>
      </x:c>
      <x:c r="M55" s="30" t="str">
        <x:v>Executed during final QA cycle on 2026-09-10; screenshot evidence captured. Final result: PASS.</x:v>
      </x:c>
    </x:row>
    <x:row r="56">
      <x:c r="A56" s="30" t="str">
        <x:v>TC-HIST-003</x:v>
      </x:c>
      <x:c r="B56" s="30" t="str">
        <x:v>TS-HIST-003</x:v>
      </x:c>
      <x:c r="C56" s="30" t="str">
        <x:v>History</x:v>
      </x:c>
      <x:c r="D56" s="30" t="str">
        <x:v>User is authenticated and Transaction History is accessible.</x:v>
      </x:c>
      <x:c r="E56" s="30" t="str">
        <x:v>1. Create a stock-out transaction.
2. Open/refresh History.
3. Locate the transaction.</x:v>
      </x:c>
      <x:c r="F56" s="30" t="str">
        <x:v>New valid stock-out transaction</x:v>
      </x:c>
      <x:c r="G56" s="30" t="str">
        <x:v>The new stock-out transaction appears in history.</x:v>
      </x:c>
      <x:c r="H56" s="30" t="str">
        <x:v>Observed behavior matched the expected result during final manual execution: The new stock-out transaction appears in history.</x:v>
      </x:c>
      <x:c r="I56" s="30" t="str">
        <x:v>Pass</x:v>
      </x:c>
      <x:c r="J56" s="30" t="str">
        <x:v>Functional</x:v>
      </x:c>
      <x:c r="K56" s="30" t="str">
        <x:v>High</x:v>
      </x:c>
      <x:c r="L56" s="30" t="str">
        <x:v>06-Evidence/History/TC-HIST-003.png</x:v>
      </x:c>
      <x:c r="M56" s="30" t="str">
        <x:v>Executed during final QA cycle on 2026-09-10; screenshot evidence captured. Final result: PASS.</x:v>
      </x:c>
    </x:row>
    <x:row r="57">
      <x:c r="A57" s="30" t="str">
        <x:v>TC-HIST-004</x:v>
      </x:c>
      <x:c r="B57" s="30" t="str">
        <x:v>TS-HIST-004</x:v>
      </x:c>
      <x:c r="C57" s="30" t="str">
        <x:v>History</x:v>
      </x:c>
      <x:c r="D57" s="30" t="str">
        <x:v>User is authenticated and Transaction History is accessible.</x:v>
      </x:c>
      <x:c r="E57" s="30" t="str">
        <x:v>1. Open History.
2. Select a known transaction.
3. Open/view transaction detail.
4. Compare displayed information with source transaction.</x:v>
      </x:c>
      <x:c r="F57" s="30" t="str">
        <x:v>Known transaction record</x:v>
      </x:c>
      <x:c r="G57" s="30" t="str">
        <x:v>Transaction detail contains the correct transaction information.</x:v>
      </x:c>
      <x:c r="H57" s="30" t="str">
        <x:v>Observed behavior matched the expected result during final manual execution: Transaction detail contains the correct transaction information.</x:v>
      </x:c>
      <x:c r="I57" s="30" t="str">
        <x:v>Pass</x:v>
      </x:c>
      <x:c r="J57" s="30" t="str">
        <x:v>Functional</x:v>
      </x:c>
      <x:c r="K57" s="30" t="str">
        <x:v>High</x:v>
      </x:c>
      <x:c r="L57" s="30" t="str">
        <x:v>06-Evidence/History/TC-HIST-004.png</x:v>
      </x:c>
      <x:c r="M57" s="30" t="str">
        <x:v>Executed during final QA cycle on 2026-09-10; screenshot evidence captured. Final result: PASS.</x:v>
      </x:c>
    </x:row>
    <x:row r="58">
      <x:c r="A58" s="30" t="str">
        <x:v>TC-HIST-005</x:v>
      </x:c>
      <x:c r="B58" s="30" t="str">
        <x:v>TS-HIST-005</x:v>
      </x:c>
      <x:c r="C58" s="30" t="str">
        <x:v>History</x:v>
      </x:c>
      <x:c r="D58" s="30" t="str">
        <x:v>User is authenticated and Transaction History is accessible.</x:v>
      </x:c>
      <x:c r="E58" s="30" t="str">
        <x:v>1. Record known transactions and quantities.
2. Open History.
3. Locate each transaction.
4. Compare type, product, quantity and other displayed key details.</x:v>
      </x:c>
      <x:c r="F58" s="30" t="str">
        <x:v>Known stock-in and stock-out transactions</x:v>
      </x:c>
      <x:c r="G58" s="30" t="str">
        <x:v>History remains consistent with the inventory transactions that occurred.</x:v>
      </x:c>
      <x:c r="H58" s="30" t="str">
        <x:v>Observed behavior matched the expected result during final manual execution: History remains consistent with the inventory transactions that occurred.</x:v>
      </x:c>
      <x:c r="I58" s="30" t="str">
        <x:v>Pass</x:v>
      </x:c>
      <x:c r="J58" s="30" t="str">
        <x:v>Functional</x:v>
      </x:c>
      <x:c r="K58" s="30" t="str">
        <x:v>Critical</x:v>
      </x:c>
      <x:c r="L58" s="30" t="str">
        <x:v>06-Evidence/History/TC-HIST-005.png</x:v>
      </x:c>
      <x:c r="M58" s="30" t="str">
        <x:v>Executed during final QA cycle on 2026-09-10; screenshot evidence captured. Final result: PASS.</x:v>
      </x:c>
    </x:row>
    <x:row r="59">
      <x:c r="A59" s="30" t="str">
        <x:v>TC-REP-001</x:v>
      </x:c>
      <x:c r="B59" s="30" t="str">
        <x:v>TS-REP-001</x:v>
      </x:c>
      <x:c r="C59" s="30" t="str">
        <x:v>Reports</x:v>
      </x:c>
      <x:c r="D59" s="30" t="str">
        <x:v>User is authenticated; products and active batch data are available; Reports module is accessible.</x:v>
      </x:c>
      <x:c r="E59" s="30" t="str">
        <x:v>1. Open Reports.
2. Open Stock Report.
3. Compare displayed actual stock with active batch quantities.
4. Compare minimum stock and status classification for representative products.</x:v>
      </x:c>
      <x:c r="F59" s="30" t="str">
        <x:v>Products with stock &gt; minimum, stock &lt;= minimum, and stock = 0</x:v>
      </x:c>
      <x:c r="G59" s="30" t="str">
        <x:v>Stock Report displays the correct actual stock and minimum stock, and classifies each product correctly as Aman, Menipis, or Habis.</x:v>
      </x:c>
      <x:c r="H59" s="30" t="str">
        <x:v>Observed behavior matched the expected result during final manual execution: Stock Report displays the correct actual stock and minimum stock, and classifies each product correctly as Aman, Menipis, or Habis.</x:v>
      </x:c>
      <x:c r="I59" s="30" t="str">
        <x:v>Pass</x:v>
      </x:c>
      <x:c r="J59" s="30" t="str">
        <x:v>Functional</x:v>
      </x:c>
      <x:c r="K59" s="30" t="str">
        <x:v>Critical</x:v>
      </x:c>
      <x:c r="L59" s="30" t="str">
        <x:v>06-Evidence/Reports/TC-REP-001.png</x:v>
      </x:c>
      <x:c r="M59" s="30" t="str">
        <x:v>Executed during final QA cycle on 2026-09-10; screenshot evidence captured. Final result: PASS.</x:v>
      </x:c>
    </x:row>
    <x:row r="60">
      <x:c r="A60" s="30" t="str">
        <x:v>TC-REP-002</x:v>
      </x:c>
      <x:c r="B60" s="30" t="str">
        <x:v>TS-REP-002</x:v>
      </x:c>
      <x:c r="C60" s="30" t="str">
        <x:v>Reports</x:v>
      </x:c>
      <x:c r="D60" s="30" t="str">
        <x:v>User is authenticated; Stock Report contains at least one product.</x:v>
      </x:c>
      <x:c r="E60" s="30" t="str">
        <x:v>1. Open Stock Report.
2. Trigger Generate/Print PDF.
3. Open the generated PDF preview/file.
4. Compare product code, name, actual stock, minimum stock, weight, and status with the report page/source data.</x:v>
      </x:c>
      <x:c r="F60" s="30" t="str">
        <x:v>Available stock report data</x:v>
      </x:c>
      <x:c r="G60" s="30" t="str">
        <x:v>The Stock Report PDF is generated successfully and its key values match the application data.</x:v>
      </x:c>
      <x:c r="H60" s="30" t="str">
        <x:v>Observed behavior matched the expected result during final manual execution: The Stock Report PDF is generated successfully and its key values match the application data.</x:v>
      </x:c>
      <x:c r="I60" s="30" t="str">
        <x:v>Pass</x:v>
      </x:c>
      <x:c r="J60" s="30" t="str">
        <x:v>Functional</x:v>
      </x:c>
      <x:c r="K60" s="30" t="str">
        <x:v>High</x:v>
      </x:c>
      <x:c r="L60" s="30" t="str">
        <x:v>06-Evidence/Reports/TC-REP-002.png</x:v>
      </x:c>
      <x:c r="M60" s="30" t="str">
        <x:v>Executed during final QA cycle on 2026-09-10; screenshot evidence captured. Final result: PASS.</x:v>
      </x:c>
    </x:row>
    <x:row r="61">
      <x:c r="A61" s="30" t="str">
        <x:v>TC-REP-003</x:v>
      </x:c>
      <x:c r="B61" s="30" t="str">
        <x:v>TS-REP-003</x:v>
      </x:c>
      <x:c r="C61" s="30" t="str">
        <x:v>Reports</x:v>
      </x:c>
      <x:c r="D61" s="30" t="str">
        <x:v>User is authenticated; at least one active batch exists; batch condition data may contain Normal and Perlu Perhatian states.</x:v>
      </x:c>
      <x:c r="E61" s="30" t="str">
        <x:v>1. Open Reports.
2. Open Batch Condition Report.
3. Verify the list of active batches.
4. Verify Ringkasan Kondisi counts for Batch Aktif, Kondisi Normal, and Perlu Perhatian.
5. Compare representative items with stored condition data.</x:v>
      </x:c>
      <x:c r="F61" s="30" t="str">
        <x:v>Active batches with representative condition records</x:v>
      </x:c>
      <x:c r="G61" s="30" t="str">
        <x:v>Batch Condition Report shows the correct active batches and condition summary counts based on stored condition-check data.</x:v>
      </x:c>
      <x:c r="H61" s="30" t="str">
        <x:v>Observed behavior matched the expected result during final manual execution: Batch Condition Report shows the correct active batches and condition summary counts based on stored condition-check data.</x:v>
      </x:c>
      <x:c r="I61" s="30" t="str">
        <x:v>Pass</x:v>
      </x:c>
      <x:c r="J61" s="30" t="str">
        <x:v>Functional</x:v>
      </x:c>
      <x:c r="K61" s="30" t="str">
        <x:v>High</x:v>
      </x:c>
      <x:c r="L61" s="30" t="str">
        <x:v>06-Evidence/Reports/TC-REP-003.png</x:v>
      </x:c>
      <x:c r="M61" s="30" t="str">
        <x:v>Executed during final QA cycle on 2026-09-10; screenshot evidence captured. Final result: PASS.</x:v>
      </x:c>
    </x:row>
    <x:row r="62">
      <x:c r="A62" s="30" t="str">
        <x:v>TC-REP-004</x:v>
      </x:c>
      <x:c r="B62" s="30" t="str">
        <x:v>TS-REP-004</x:v>
      </x:c>
      <x:c r="C62" s="30" t="str">
        <x:v>Reports</x:v>
      </x:c>
      <x:c r="D62" s="30" t="str">
        <x:v>User is authenticated; Batch Condition Report contains active batch data.</x:v>
      </x:c>
      <x:c r="E62" s="30" t="str">
        <x:v>1. Open Batch Condition Report.
2. Generate the PDF.
3. Open the generated PDF preview/file.
4. Compare batch information, findings, and Normal/Perlu Perhatian status with the application report.</x:v>
      </x:c>
      <x:c r="F62" s="30" t="str">
        <x:v>Available active batch condition data</x:v>
      </x:c>
      <x:c r="G62" s="30" t="str">
        <x:v>The Batch Condition Report PDF is generated successfully and contains information consistent with the application data.</x:v>
      </x:c>
      <x:c r="H62" s="30" t="str">
        <x:v>Observed behavior matched the expected result during final manual execution: The Batch Condition Report PDF is generated successfully and contains information consistent with the application data.</x:v>
      </x:c>
      <x:c r="I62" s="30" t="str">
        <x:v>Pass</x:v>
      </x:c>
      <x:c r="J62" s="30" t="str">
        <x:v>Functional</x:v>
      </x:c>
      <x:c r="K62" s="30" t="str">
        <x:v>High</x:v>
      </x:c>
      <x:c r="L62" s="30" t="str">
        <x:v>06-Evidence/Reports/TC-REP-004.png</x:v>
      </x:c>
      <x:c r="M62" s="30" t="str">
        <x:v>Executed during final QA cycle on 2026-09-10; screenshot evidence captured. Final result: PASS.</x:v>
      </x:c>
    </x:row>
    <x:row r="63">
      <x:c r="A63" s="30" t="str">
        <x:v>TC-REP-005</x:v>
      </x:c>
      <x:c r="B63" s="30" t="str">
        <x:v>TS-REP-005</x:v>
      </x:c>
      <x:c r="C63" s="30" t="str">
        <x:v>Reports</x:v>
      </x:c>
      <x:c r="D63" s="30" t="str">
        <x:v>User is authenticated; test state contains no product/report data or no active batches.</x:v>
      </x:c>
      <x:c r="E63" s="30" t="str">
        <x:v>1. Open the relevant report with an empty dataset.
2. Attempt to generate a PDF where applicable.
3. Observe the empty-state message and application stability.</x:v>
      </x:c>
      <x:c r="F63" s="30" t="str">
        <x:v>No product data / no active batches</x:v>
      </x:c>
      <x:c r="G63" s="30" t="str">
        <x:v>The application handles empty report data safely, shows an appropriate message, prevents invalid PDF generation, and does not crash.</x:v>
      </x:c>
      <x:c r="H63" s="30" t="str">
        <x:v>Observed behavior matched the expected result during final manual execution: The application handles empty report data safely, shows an appropriate message, prevents invalid PDF generation, and does not crash.</x:v>
      </x:c>
      <x:c r="I63" s="30" t="str">
        <x:v>Pass</x:v>
      </x:c>
      <x:c r="J63" s="30" t="str">
        <x:v>Negative</x:v>
      </x:c>
      <x:c r="K63" s="30" t="str">
        <x:v>Medium</x:v>
      </x:c>
      <x:c r="L63" s="30" t="str">
        <x:v>06-Evidence/Reports/TC-REP-005.png</x:v>
      </x:c>
      <x:c r="M63" s="30" t="str">
        <x:v>Executed during final QA cycle on 2026-09-10; screenshot evidence captured. Final result: PASS.</x:v>
      </x:c>
    </x:row>
    <x:row r="64">
      <x:c r="A64" s="30" t="str">
        <x:v>TC-USER-001</x:v>
      </x:c>
      <x:c r="B64" s="30" t="str">
        <x:v>TS-USER-001</x:v>
      </x:c>
      <x:c r="C64" s="30" t="str">
        <x:v>User Management</x:v>
      </x:c>
      <x:c r="D64" s="30" t="str">
        <x:v>Owner/Pemilik account is authenticated and User Management is accessible.</x:v>
      </x:c>
      <x:c r="E64" s="30" t="str">
        <x:v>1. Open User Management.
2. Wait for the user list to load.
3. Verify name, email, role, active status, and current-account indicator for representative users.</x:v>
      </x:c>
      <x:c r="F64" s="30" t="str">
        <x:v>Existing owner and employee accounts</x:v>
      </x:c>
      <x:c r="G64" s="30" t="str">
        <x:v>The user list loads successfully and displays the correct identity, role, active status, and current-account indicator.</x:v>
      </x:c>
      <x:c r="H64" s="30" t="str">
        <x:v>Observed behavior matched the expected result during final manual execution: The user list loads successfully and displays the correct identity, role, active status, and current-account indicator.</x:v>
      </x:c>
      <x:c r="I64" s="30" t="str">
        <x:v>Pass</x:v>
      </x:c>
      <x:c r="J64" s="30" t="str">
        <x:v>Functional</x:v>
      </x:c>
      <x:c r="K64" s="30" t="str">
        <x:v>High</x:v>
      </x:c>
      <x:c r="L64" s="30" t="str">
        <x:v>06-Evidence/User-Management/TC-USER-001.png</x:v>
      </x:c>
      <x:c r="M64" s="30" t="str">
        <x:v>Executed during final QA cycle on 2026-09-10; screenshot evidence captured. Final result: PASS.</x:v>
      </x:c>
    </x:row>
    <x:row r="65">
      <x:c r="A65" s="30" t="str">
        <x:v>TC-USER-002</x:v>
      </x:c>
      <x:c r="B65" s="30" t="str">
        <x:v>TS-USER-002</x:v>
      </x:c>
      <x:c r="C65" s="30" t="str">
        <x:v>User Management</x:v>
      </x:c>
      <x:c r="D65" s="30" t="str">
        <x:v>Owner/Pemilik account is authenticated; a unique test email is available.</x:v>
      </x:c>
      <x:c r="E65" s="30" t="str">
        <x:v>1. Open User Management.
2. Select Add User.
3. Enter valid name, unique email, password, role, and active status.
4. Save.
5. Verify the new user appears in the list.</x:v>
      </x:c>
      <x:c r="F65" s="30" t="str">
        <x:v>Valid unique user data; role = Karyawan or Pemilik</x:v>
      </x:c>
      <x:c r="G65" s="30" t="str">
        <x:v>A new user is created successfully with the selected role and active status and appears in User Management.</x:v>
      </x:c>
      <x:c r="H65" s="30" t="str">
        <x:v>Observed behavior matched the expected result during final manual execution: A new user is created successfully with the selected role and active status and appears in User Management.</x:v>
      </x:c>
      <x:c r="I65" s="30" t="str">
        <x:v>Pass</x:v>
      </x:c>
      <x:c r="J65" s="30" t="str">
        <x:v>Positive</x:v>
      </x:c>
      <x:c r="K65" s="30" t="str">
        <x:v>High</x:v>
      </x:c>
      <x:c r="L65" s="30" t="str">
        <x:v>06-Evidence/User-Management/TC-USER-002.png</x:v>
      </x:c>
      <x:c r="M65" s="30" t="str">
        <x:v>Executed during final QA cycle on 2026-09-10; screenshot evidence captured. Final result: PASS.</x:v>
      </x:c>
    </x:row>
    <x:row r="66">
      <x:c r="A66" s="30" t="str">
        <x:v>TC-USER-003</x:v>
      </x:c>
      <x:c r="B66" s="30" t="str">
        <x:v>TS-USER-003</x:v>
      </x:c>
      <x:c r="C66" s="30" t="str">
        <x:v>User Management</x:v>
      </x:c>
      <x:c r="D66" s="30" t="str">
        <x:v>Owner/Pemilik account is authenticated; Add User form is open.</x:v>
      </x:c>
      <x:c r="E66" s="30" t="str">
        <x:v>1. Leave one or more required fields empty.
2. Try invalid email/password values if validation is available.
3. Attempt to submit the form.
4. Observe validation messages.</x:v>
      </x:c>
      <x:c r="F66" s="30" t="str">
        <x:v>Blank/invalid required user fields</x:v>
      </x:c>
      <x:c r="G66" s="30" t="str">
        <x:v>The form blocks invalid or incomplete user data and provides appropriate validation feedback.</x:v>
      </x:c>
      <x:c r="H66" s="30" t="str">
        <x:v>Observed behavior matched the expected result during final manual execution: The form blocks invalid or incomplete user data and provides appropriate validation feedback.</x:v>
      </x:c>
      <x:c r="I66" s="30" t="str">
        <x:v>Pass</x:v>
      </x:c>
      <x:c r="J66" s="30" t="str">
        <x:v>Validation</x:v>
      </x:c>
      <x:c r="K66" s="30" t="str">
        <x:v>High</x:v>
      </x:c>
      <x:c r="L66" s="30" t="str">
        <x:v>06-Evidence/User-Management/TC-USER-003.png</x:v>
      </x:c>
      <x:c r="M66" s="30" t="str">
        <x:v>Executed during final QA cycle on 2026-09-10; screenshot evidence captured. Final result: PASS.</x:v>
      </x:c>
    </x:row>
    <x:row r="67">
      <x:c r="A67" s="30" t="str">
        <x:v>TC-USER-004</x:v>
      </x:c>
      <x:c r="B67" s="30" t="str">
        <x:v>TS-USER-004</x:v>
      </x:c>
      <x:c r="C67" s="30" t="str">
        <x:v>User Management</x:v>
      </x:c>
      <x:c r="D67" s="30" t="str">
        <x:v>Owner/Pemilik account is authenticated; a different test user exists.</x:v>
      </x:c>
      <x:c r="E67" s="30" t="str">
        <x:v>1. Locate a non-current test user.
2. Change the role between Karyawan and Pemilik Toko.
3. Reload/reopen User Management.
4. Verify the selected role persists.</x:v>
      </x:c>
      <x:c r="F67" s="30" t="str">
        <x:v>Existing non-current test user</x:v>
      </x:c>
      <x:c r="G67" s="30" t="str">
        <x:v>The role change is saved correctly and persists after reload; the current account's own role control remains protected/disabled.</x:v>
      </x:c>
      <x:c r="H67" s="30" t="str">
        <x:v>Observed behavior matched the expected result during final manual execution: The role change is saved correctly and persists after reload; the current account's own role control remains protected/disabled.</x:v>
      </x:c>
      <x:c r="I67" s="30" t="str">
        <x:v>Pass</x:v>
      </x:c>
      <x:c r="J67" s="30" t="str">
        <x:v>Authorization</x:v>
      </x:c>
      <x:c r="K67" s="30" t="str">
        <x:v>Critical</x:v>
      </x:c>
      <x:c r="L67" s="30" t="str">
        <x:v>06-Evidence/User-Management/TC-USER-004.png</x:v>
      </x:c>
      <x:c r="M67" s="30" t="str">
        <x:v>Executed during final QA cycle on 2026-09-10; screenshot evidence captured. Final result: PASS.</x:v>
      </x:c>
    </x:row>
    <x:row r="68">
      <x:c r="A68" s="30" t="str">
        <x:v>TC-USER-005</x:v>
      </x:c>
      <x:c r="B68" s="30" t="str">
        <x:v>TS-USER-005</x:v>
      </x:c>
      <x:c r="C68" s="30" t="str">
        <x:v>User Management</x:v>
      </x:c>
      <x:c r="D68" s="30" t="str">
        <x:v>Owner/Pemilik account is authenticated; a different active test user exists.</x:v>
      </x:c>
      <x:c r="E68" s="30" t="str">
        <x:v>1. Toggle another user's status to inactive.
2. Reload the page and verify status.
3. Toggle the user active again.
4. Verify persistence.
5. Confirm the current account's own status switch cannot be changed from this page.</x:v>
      </x:c>
      <x:c r="F68" s="30" t="str">
        <x:v>Existing non-current active user</x:v>
      </x:c>
      <x:c r="G68" s="30" t="str">
        <x:v>Other users can be activated/deactivated and the state persists; the current account cannot deactivate itself from User Management.</x:v>
      </x:c>
      <x:c r="H68" s="30" t="str">
        <x:v>Observed behavior matched the expected result during final manual execution: Other users can be activated/deactivated and the state persists; the current account cannot deactivate itself from User Management.</x:v>
      </x:c>
      <x:c r="I68" s="30" t="str">
        <x:v>Pass</x:v>
      </x:c>
      <x:c r="J68" s="30" t="str">
        <x:v>Functional</x:v>
      </x:c>
      <x:c r="K68" s="30" t="str">
        <x:v>High</x:v>
      </x:c>
      <x:c r="L68" s="30" t="str">
        <x:v>06-Evidence/User-Management/TC-USER-005.png</x:v>
      </x:c>
      <x:c r="M68" s="30" t="str">
        <x:v>Executed during final QA cycle on 2026-09-10; screenshot evidence captured. Final result: PASS.</x:v>
      </x:c>
    </x:row>
    <x:row r="69">
      <x:c r="A69" s="30" t="str">
        <x:v>TC-USER-006</x:v>
      </x:c>
      <x:c r="B69" s="30" t="str">
        <x:v>TS-USER-006</x:v>
      </x:c>
      <x:c r="C69" s="30" t="str">
        <x:v>User Management</x:v>
      </x:c>
      <x:c r="D69" s="30" t="str">
        <x:v>A test user exists and has been set to inactive by an Owner/Pemilik.</x:v>
      </x:c>
      <x:c r="E69" s="30" t="str">
        <x:v>1. Set the test user inactive.
2. Sign out.
3. Attempt login using that user's valid credentials.
4. Observe access result.</x:v>
      </x:c>
      <x:c r="F69" s="30" t="str">
        <x:v>Inactive user with otherwise valid credentials</x:v>
      </x:c>
      <x:c r="G69" s="30" t="str">
        <x:v>The inactive user is denied access to the application.</x:v>
      </x:c>
      <x:c r="H69" s="30" t="str">
        <x:v>Observed behavior matched the expected result during final manual execution: The inactive user is denied access to the application.</x:v>
      </x:c>
      <x:c r="I69" s="30" t="str">
        <x:v>Pass</x:v>
      </x:c>
      <x:c r="J69" s="30" t="str">
        <x:v>Regression</x:v>
      </x:c>
      <x:c r="K69" s="30" t="str">
        <x:v>Critical</x:v>
      </x:c>
      <x:c r="L69" s="30" t="str">
        <x:v>06-Evidence/User-Management/TC-USER-006.png</x:v>
      </x:c>
      <x:c r="M69" s="30" t="str">
        <x:v>Executed during final QA cycle on 2026-09-10; screenshot evidence captured. Final result: PASS.</x:v>
      </x:c>
    </x:row>
    <x:row r="70">
      <x:c r="A70" s="30" t="str">
        <x:v>TC-USER-007</x:v>
      </x:c>
      <x:c r="B70" s="30" t="str">
        <x:v>TS-USER-007</x:v>
      </x:c>
      <x:c r="C70" s="30" t="str">
        <x:v>User Management</x:v>
      </x:c>
      <x:c r="D70" s="30" t="str">
        <x:v>Owner/Pemilik account is authenticated; at least one other test user exists.</x:v>
      </x:c>
      <x:c r="E70" s="30" t="str">
        <x:v>1. Attempt to delete the currently signed-in account and observe protection.
2. Select a different test user and choose Delete.
3. Cancel once to verify no deletion occurs.
4. Repeat and confirm deletion.
5. Verify the deleted profile no longer appears and cannot access the app through its missing application profile.</x:v>
      </x:c>
      <x:c r="F70" s="30" t="str">
        <x:v>Current account + separate disposable test user</x:v>
      </x:c>
      <x:c r="G70" s="30" t="str">
        <x:v>The current account cannot be deleted; deletion of another user requires confirmation; after confirmed deletion the user's application profile is removed and access is no longer granted.</x:v>
      </x:c>
      <x:c r="H70" s="30" t="str">
        <x:v>Observed behavior matched the expected result during final manual execution: The current account cannot be deleted; deletion of another user requires confirmation; after confirmed deletion the user's application profile is removed and access is no longer granted.</x:v>
      </x:c>
      <x:c r="I70" s="30" t="str">
        <x:v>Pass</x:v>
      </x:c>
      <x:c r="J70" s="30" t="str">
        <x:v>Authorization</x:v>
      </x:c>
      <x:c r="K70" s="30" t="str">
        <x:v>Critical</x:v>
      </x:c>
      <x:c r="L70" s="30" t="str">
        <x:v>06-Evidence/User-Management/TC-USER-007.png</x:v>
      </x:c>
      <x:c r="M70" s="30" t="str">
        <x:v>Executed during final QA cycle on 2026-09-10; screenshot evidence captured. Final result: PASS.</x:v>
      </x:c>
    </x:row>
    <x:row r="71">
      <x:c r="A71" s="30" t="str">
        <x:v>TC-ALERT-001</x:v>
      </x:c>
      <x:c r="B71" s="30" t="str">
        <x:v>TS-ALERT-001</x:v>
      </x:c>
      <x:c r="C71" s="30" t="str">
        <x:v>Alerts</x:v>
      </x:c>
      <x:c r="D71" s="30" t="str">
        <x:v>User is authenticated; representative inventory/batch conditions exist.</x:v>
      </x:c>
      <x:c r="E71" s="30" t="str">
        <x:v>1. Prepare/identify data that should trigger alerts.
2. Open Alerts.
3. Verify summary counts and categories such as Stok Habis, Stok Menipis, Kondisi Perlu Perhatian, batch age threshold, and batch almost empty where applicable.</x:v>
      </x:c>
      <x:c r="F71" s="30" t="str">
        <x:v>Representative products/batches triggering alert conditions</x:v>
      </x:c>
      <x:c r="G71" s="30" t="str">
        <x:v>Alert summary and listed items accurately reflect the current product stock and batch conditions.</x:v>
      </x:c>
      <x:c r="H71" s="30" t="str">
        <x:v>Observed behavior matched the expected result during final manual execution: Alert summary and listed items accurately reflect the current product stock and batch conditions.</x:v>
      </x:c>
      <x:c r="I71" s="30" t="str">
        <x:v>Pass</x:v>
      </x:c>
      <x:c r="J71" s="30" t="str">
        <x:v>Functional</x:v>
      </x:c>
      <x:c r="K71" s="30" t="str">
        <x:v>High</x:v>
      </x:c>
      <x:c r="L71" s="30" t="str">
        <x:v>06-Evidence/Alerts/TC-ALERT-001.png</x:v>
      </x:c>
      <x:c r="M71" s="30" t="str">
        <x:v>Executed during final QA cycle on 2026-09-10; screenshot evidence captured. Final result: PASS.</x:v>
      </x:c>
    </x:row>
    <x:row r="72">
      <x:c r="A72" s="30" t="str">
        <x:v>TC-ALERT-002</x:v>
      </x:c>
      <x:c r="B72" s="30" t="str">
        <x:v>TS-ALERT-002</x:v>
      </x:c>
      <x:c r="C72" s="30" t="str">
        <x:v>Alerts</x:v>
      </x:c>
      <x:c r="D72" s="30" t="str">
        <x:v>User is authenticated; at least one actionable alert exists.</x:v>
      </x:c>
      <x:c r="E72" s="30" t="str">
        <x:v>1. Open Alerts.
2. Select representative alert items.
3. Follow the provided action/navigation.
4. Verify the correct Stock In, Batch Detail, Condition Check, or related page opens.
5. Compare the displayed item with the selected alert.</x:v>
      </x:c>
      <x:c r="F72" s="30" t="str">
        <x:v>Actionable alert item</x:v>
      </x:c>
      <x:c r="G72" s="30" t="str">
        <x:v>Selecting an alert opens the correct related page and the destination data matches the selected product/batch.</x:v>
      </x:c>
      <x:c r="H72" s="30" t="str">
        <x:v>Observed behavior matched the expected result during final manual execution: Selecting an alert opens the correct related page and the destination data matches the selected product/batch.</x:v>
      </x:c>
      <x:c r="I72" s="30" t="str">
        <x:v>Pass</x:v>
      </x:c>
      <x:c r="J72" s="30" t="str">
        <x:v>Functional</x:v>
      </x:c>
      <x:c r="K72" s="30" t="str">
        <x:v>High</x:v>
      </x:c>
      <x:c r="L72" s="30" t="str">
        <x:v>06-Evidence/Alerts/TC-ALERT-002.png</x:v>
      </x:c>
      <x:c r="M72" s="30" t="str">
        <x:v>Executed during final QA cycle on 2026-09-10; screenshot evidence captured. Final result: PASS.</x:v>
      </x:c>
    </x:row>
    <x:row r="73">
      <x:c r="A73" s="30" t="str">
        <x:v>TC-ALERT-003</x:v>
      </x:c>
      <x:c r="B73" s="30" t="str">
        <x:v>TS-ALERT-003</x:v>
      </x:c>
      <x:c r="C73" s="30" t="str">
        <x:v>Alerts</x:v>
      </x:c>
      <x:c r="D73" s="30" t="str">
        <x:v>User is authenticated; alert-triggering test data can be changed.</x:v>
      </x:c>
      <x:c r="E73" s="30" t="str">
        <x:v>1. Record current alerts.
2. Modify inventory/batch data so a trigger condition is resolved or no longer met.
3. Refresh/reopen Alerts.
4. Verify resolved alerts disappear/update.
5. Confirm no alert appears for conditions that are not met.</x:v>
      </x:c>
      <x:c r="F73" s="30" t="str">
        <x:v>Before/after inventory state around alert thresholds</x:v>
      </x:c>
      <x:c r="G73" s="30" t="str">
        <x:v>Alerts update according to current data and the application does not show false or stale alerts.</x:v>
      </x:c>
      <x:c r="H73" s="30" t="str">
        <x:v>Observed behavior matched the expected result during final manual execution: Alerts update according to current data and the application does not show false or stale alerts.</x:v>
      </x:c>
      <x:c r="I73" s="30" t="str">
        <x:v>Pass</x:v>
      </x:c>
      <x:c r="J73" s="30" t="str">
        <x:v>Regression</x:v>
      </x:c>
      <x:c r="K73" s="30" t="str">
        <x:v>Medium</x:v>
      </x:c>
      <x:c r="L73" s="30" t="str">
        <x:v>06-Evidence/Alerts/TC-ALERT-003.png</x:v>
      </x:c>
      <x:c r="M73" s="30" t="str">
        <x:v>Executed during final QA cycle on 2026-09-10; screenshot evidence captured. Final result: PASS.</x:v>
      </x:c>
    </x:row>
    <x:row r="74">
      <x:c r="A74" s="30" t="str">
        <x:v>TC-ANL-001</x:v>
      </x:c>
      <x:c r="B74" s="30" t="str">
        <x:v>TS-ANL-001</x:v>
      </x:c>
      <x:c r="C74" s="30" t="str">
        <x:v>Analysis</x:v>
      </x:c>
      <x:c r="D74" s="30" t="str">
        <x:v>User is authenticated; Analysis/Stock Trend feature is accessible; transaction history exists.</x:v>
      </x:c>
      <x:c r="E74" s="30" t="str">
        <x:v>1. Open Analysis/Stock Trend.
2. Select a product with sufficient historical stock-out data.
3. Wait for calculation and rendering.
4. Verify the selected product's historical series is displayed without error.</x:v>
      </x:c>
      <x:c r="F74" s="30" t="str">
        <x:v>Product with sufficient historical stock-out transactions</x:v>
      </x:c>
      <x:c r="G74" s="30" t="str">
        <x:v>The analysis page loads successfully and displays the selected product's analysis based on available transaction data.</x:v>
      </x:c>
      <x:c r="H74" s="30" t="str">
        <x:v>Observed behavior matched the expected result during final manual execution: The analysis page loads successfully and displays the selected product's analysis based on available transaction data.</x:v>
      </x:c>
      <x:c r="I74" s="30" t="str">
        <x:v>Pass</x:v>
      </x:c>
      <x:c r="J74" s="30" t="str">
        <x:v>Functional</x:v>
      </x:c>
      <x:c r="K74" s="30" t="str">
        <x:v>High</x:v>
      </x:c>
      <x:c r="L74" s="30" t="str">
        <x:v>06-Evidence/Analysis/TC-ANL-001.png</x:v>
      </x:c>
      <x:c r="M74" s="30" t="str">
        <x:v>Executed during final QA cycle on 2026-09-10; screenshot evidence captured. Final result: PASS.</x:v>
      </x:c>
    </x:row>
    <x:row r="75">
      <x:c r="A75" s="30" t="str">
        <x:v>TC-ANL-002</x:v>
      </x:c>
      <x:c r="B75" s="30" t="str">
        <x:v>TS-ANL-002</x:v>
      </x:c>
      <x:c r="C75" s="30" t="str">
        <x:v>Analysis</x:v>
      </x:c>
      <x:c r="D75" s="30" t="str">
        <x:v>A product with sufficient historical stock-out data is selected.</x:v>
      </x:c>
      <x:c r="E75" s="30" t="str">
        <x:v>1. Record the historical transaction dataset used by the analysis.
2. Run/open the regression result.
3. Verify slope, relative slope %, R-squared, and estimated next-7-day stock-out values are present.
4. Compare representative values with an independent/manual calculation where practical.</x:v>
      </x:c>
      <x:c r="F75" s="30" t="str">
        <x:v>Known historical stock-out dataset</x:v>
      </x:c>
      <x:c r="G75" s="30" t="str">
        <x:v>Regression outputs are calculated from the selected product's data and display valid slope, relative slope, R-squared, and 7-day forecast values without invalid/NaN results.</x:v>
      </x:c>
      <x:c r="H75" s="30" t="str">
        <x:v>Observed behavior matched the expected result during final manual execution: Regression outputs are calculated from the selected product's data and display valid slope, relative slope, R-squared, and 7-day forecast values without invalid/NaN results.</x:v>
      </x:c>
      <x:c r="I75" s="30" t="str">
        <x:v>Pass</x:v>
      </x:c>
      <x:c r="J75" s="30" t="str">
        <x:v>Functional</x:v>
      </x:c>
      <x:c r="K75" s="30" t="str">
        <x:v>Critical</x:v>
      </x:c>
      <x:c r="L75" s="30" t="str">
        <x:v>06-Evidence/Analysis/TC-ANL-002.png</x:v>
      </x:c>
      <x:c r="M75" s="30" t="str">
        <x:v>Executed during final QA cycle on 2026-09-10; screenshot evidence captured. Final result: PASS.</x:v>
      </x:c>
    </x:row>
    <x:row r="76">
      <x:c r="A76" s="30" t="str">
        <x:v>TC-ANL-003</x:v>
      </x:c>
      <x:c r="B76" s="30" t="str">
        <x:v>TS-ANL-003</x:v>
      </x:c>
      <x:c r="C76" s="30" t="str">
        <x:v>Analysis</x:v>
      </x:c>
      <x:c r="D76" s="30" t="str">
        <x:v>Sufficient historical data exists for rolling validation.</x:v>
      </x:c>
      <x:c r="E76" s="30" t="str">
        <x:v>1. Open Regression Validation.
2. Run/calculate validation.
3. Verify rolling training/testing windows are generated.
4. Verify MAE, RMSE, and WAPE values are displayed.
5. Generate/open the validation PDF if the action is available and compare key metrics.</x:v>
      </x:c>
      <x:c r="F76" s="30" t="str">
        <x:v>Product dataset sufficient for rolling validation</x:v>
      </x:c>
      <x:c r="G76" s="30" t="str">
        <x:v>Rolling validation completes successfully and presents valid MAE, RMSE, and WAPE metrics; generated report content is consistent with the displayed metrics.</x:v>
      </x:c>
      <x:c r="H76" s="30" t="str">
        <x:v>Observed behavior matched the expected result during final manual execution: Rolling validation completes successfully and presents valid MAE, RMSE, and WAPE metrics; generated report content is consistent with the displayed metrics.</x:v>
      </x:c>
      <x:c r="I76" s="30" t="str">
        <x:v>Pass</x:v>
      </x:c>
      <x:c r="J76" s="30" t="str">
        <x:v>Functional</x:v>
      </x:c>
      <x:c r="K76" s="30" t="str">
        <x:v>High</x:v>
      </x:c>
      <x:c r="L76" s="30" t="str">
        <x:v>06-Evidence/Analysis/TC-ANL-003.png</x:v>
      </x:c>
      <x:c r="M76" s="30" t="str">
        <x:v>Executed during final QA cycle on 2026-09-10; screenshot evidence captured. Final result: PASS.</x:v>
      </x:c>
    </x:row>
    <x:row r="77">
      <x:c r="A77" s="30" t="str">
        <x:v>TC-ANL-004</x:v>
      </x:c>
      <x:c r="B77" s="30" t="str">
        <x:v>TS-ANL-004</x:v>
      </x:c>
      <x:c r="C77" s="30" t="str">
        <x:v>Analysis</x:v>
      </x:c>
      <x:c r="D77" s="30" t="str">
        <x:v>A product with insufficient or no relevant historical transactions is available.</x:v>
      </x:c>
      <x:c r="E77" s="30" t="str">
        <x:v>1. Select a product with insufficient/no usable transaction history.
2. Open/run analysis and regression validation.
3. Observe messages, values, and application stability.</x:v>
      </x:c>
      <x:c r="F77" s="30" t="str">
        <x:v>Insufficient/no relevant historical data</x:v>
      </x:c>
      <x:c r="G77" s="30" t="str">
        <x:v>The application clearly indicates insufficient data, avoids misleading predictions/metrics, and remains stable without crashing.</x:v>
      </x:c>
      <x:c r="H77" s="30" t="str">
        <x:v>Observed behavior matched the expected result during final manual execution: The application clearly indicates insufficient data, avoids misleading predictions/metrics, and remains stable without crashing.</x:v>
      </x:c>
      <x:c r="I77" s="30" t="str">
        <x:v>Pass</x:v>
      </x:c>
      <x:c r="J77" s="30" t="str">
        <x:v>Negative</x:v>
      </x:c>
      <x:c r="K77" s="30" t="str">
        <x:v>High</x:v>
      </x:c>
      <x:c r="L77" s="30" t="str">
        <x:v>06-Evidence/Analysis/TC-ANL-004.png</x:v>
      </x:c>
      <x:c r="M77" s="30" t="str">
        <x:v>Executed during final QA cycle on 2026-09-10; screenshot evidence captured. Final result: PASS.</x:v>
      </x:c>
    </x:row>
    <x:row r="78">
      <x:c r="A78" s="30" t="str">
        <x:v>TC-NAV-001</x:v>
      </x:c>
      <x:c r="B78" s="30" t="str">
        <x:v>TS-NAV-001</x:v>
      </x:c>
      <x:c r="C78" s="30" t="str">
        <x:v>Navigation</x:v>
      </x:c>
      <x:c r="D78" s="30" t="str">
        <x:v>User is authenticated and the main menu/dashboard is available.</x:v>
      </x:c>
      <x:c r="E78" s="30" t="str">
        <x:v>1. From the main screen, open each major module one at a time.
2. Verify the destination page/title.
3. Return to the main screen and repeat.</x:v>
      </x:c>
      <x:c r="F78" s="30" t="str">
        <x:v>Authentication, Dashboard, Product, Stock In, Stock Out, History, Reports, Alerts, Analysis, User Management as available by role</x:v>
      </x:c>
      <x:c r="G78" s="30" t="str">
        <x:v>Each navigation action opens the correct destination module for the current user's role.</x:v>
      </x:c>
      <x:c r="H78" s="30" t="str">
        <x:v>Observed behavior matched the expected result during final manual execution: Each navigation action opens the correct destination module for the current user's role.</x:v>
      </x:c>
      <x:c r="I78" s="30" t="str">
        <x:v>Pass</x:v>
      </x:c>
      <x:c r="J78" s="30" t="str">
        <x:v>Functional</x:v>
      </x:c>
      <x:c r="K78" s="30" t="str">
        <x:v>High</x:v>
      </x:c>
      <x:c r="L78" s="30" t="str">
        <x:v>06-Evidence/Navigation/TC-NAV-001.png</x:v>
      </x:c>
      <x:c r="M78" s="30" t="str">
        <x:v>Executed during final QA cycle on 2026-09-10; screenshot evidence captured. Final result: PASS.</x:v>
      </x:c>
    </x:row>
    <x:row r="79">
      <x:c r="A79" s="30" t="str">
        <x:v>TC-NAV-002</x:v>
      </x:c>
      <x:c r="B79" s="30" t="str">
        <x:v>TS-NAV-002</x:v>
      </x:c>
      <x:c r="C79" s="30" t="str">
        <x:v>Navigation</x:v>
      </x:c>
      <x:c r="D79" s="30" t="str">
        <x:v>User is authenticated; multiple secondary pages including Transaction History are accessible.</x:v>
      </x:c>
      <x:c r="E79" s="30" t="str">
        <x:v>1. Open Transaction History and other representative secondary pages.
2. Observe the back arrow/icon style, size, placement, and behavior.
3. Tap Back on each page.
4. Compare visual consistency and resulting destination.</x:v>
      </x:c>
      <x:c r="F79" s="30" t="str">
        <x:v>Representative pages with a back-navigation control</x:v>
      </x:c>
      <x:c r="G79" s="30" t="str">
        <x:v>Back navigation returns to the correct previous page and the back arrow/control is visually consistent across comparable application pages.</x:v>
      </x:c>
      <x:c r="H79" s="30" t="str">
        <x:v>The back action works, but the back arrow on the Transaction History page is visually different/inconsistent compared with other comparable application pages.</x:v>
      </x:c>
      <x:c r="I79" s="30" t="str">
        <x:v>Fail</x:v>
      </x:c>
      <x:c r="J79" s="30" t="str">
        <x:v>UI/UX</x:v>
      </x:c>
      <x:c r="K79" s="30" t="str">
        <x:v>Medium</x:v>
      </x:c>
      <x:c r="L79" s="30" t="str">
        <x:v>06-Evidence/Navigation/TC-NAV-002.png</x:v>
      </x:c>
      <x:c r="M79" s="30" t="str">
        <x:v>Linked defect: BUG-002. UI consistency issue on the Transaction History back arrow.</x:v>
      </x:c>
    </x:row>
    <x:row r="80">
      <x:c r="A80" s="30" t="str">
        <x:v>TC-NAV-003</x:v>
      </x:c>
      <x:c r="B80" s="30" t="str">
        <x:v>TS-NAV-003</x:v>
      </x:c>
      <x:c r="C80" s="30" t="str">
        <x:v>Navigation</x:v>
      </x:c>
      <x:c r="D80" s="30" t="str">
        <x:v>User is authenticated and representative modules are accessible.</x:v>
      </x:c>
      <x:c r="E80" s="30" t="str">
        <x:v>1. Navigate repeatedly between representative modules.
2. Open and close detail/forms.
3. Repeat several cycles.
4. Observe crashes, duplicate pages, or unexpected state loss.</x:v>
      </x:c>
      <x:c r="F80" s="30" t="str">
        <x:v>Normal navigation flow</x:v>
      </x:c>
      <x:c r="G80" s="30" t="str">
        <x:v>The application remains stable during repeated navigation and does not crash or create an incorrect navigation stack.</x:v>
      </x:c>
      <x:c r="H80" s="30" t="str">
        <x:v>Observed behavior matched the expected result during final manual execution: The application remains stable during repeated navigation and does not crash or create an incorrect navigation stack.</x:v>
      </x:c>
      <x:c r="I80" s="30" t="str">
        <x:v>Pass</x:v>
      </x:c>
      <x:c r="J80" s="30" t="str">
        <x:v>Stability</x:v>
      </x:c>
      <x:c r="K80" s="30" t="str">
        <x:v>Critical</x:v>
      </x:c>
      <x:c r="L80" s="30" t="str">
        <x:v>No dedicated screenshot — observational execution</x:v>
      </x:c>
      <x:c r="M80" s="30" t="str">
        <x:v>PASS. Repeated navigation was manually observed across representative modules. No crash, duplicate page, or unexpected state loss was found. A dedicated screenshot was not captured because the test required observation across multiple navigation flows.</x:v>
      </x:c>
    </x:row>
    <x:row r="81">
      <x:c r="A81" s="30" t="str">
        <x:v>TC-NAV-004</x:v>
      </x:c>
      <x:c r="B81" s="30" t="str">
        <x:v>TS-NAV-004</x:v>
      </x:c>
      <x:c r="C81" s="30" t="str">
        <x:v>Navigation</x:v>
      </x:c>
      <x:c r="D81" s="30" t="str">
        <x:v>User is authenticated; a page that loads remote/Firestore data is accessible.</x:v>
      </x:c>
      <x:c r="E81" s="30" t="str">
        <x:v>1. Open a data-dependent page.
2. Observe the UI while data is loading.
3. Wait for completion.
4. Navigate away/back if applicable.</x:v>
      </x:c>
      <x:c r="F81" s="30" t="str">
        <x:v>Normal network connection and remote data</x:v>
      </x:c>
      <x:c r="G81" s="30" t="str">
        <x:v>A clear/safe loading state is shown and the page transitions to content without broken UI or duplicate navigation.</x:v>
      </x:c>
      <x:c r="H81" s="30" t="str">
        <x:v>Observed behavior matched the expected result during final manual execution: A clear/safe loading state is shown and the page transitions to content without broken UI or duplicate navigation.</x:v>
      </x:c>
      <x:c r="I81" s="30" t="str">
        <x:v>Pass</x:v>
      </x:c>
      <x:c r="J81" s="30" t="str">
        <x:v>Functional</x:v>
      </x:c>
      <x:c r="K81" s="30" t="str">
        <x:v>Medium</x:v>
      </x:c>
      <x:c r="L81" s="30" t="str">
        <x:v>No dedicated screenshot — observational execution</x:v>
      </x:c>
      <x:c r="M81" s="30" t="str">
        <x:v>PASS. Loading states were manually observed on representative data-dependent pages. Content loaded correctly without broken UI or navigation issues. A dedicated screenshot was not captured because the verification covered multiple loading states/pages.</x:v>
      </x:c>
    </x:row>
    <x:row r="82">
      <x:c r="A82" s="30" t="str">
        <x:v>TC-NAV-005</x:v>
      </x:c>
      <x:c r="B82" s="30" t="str">
        <x:v>TS-NAV-005</x:v>
      </x:c>
      <x:c r="C82" s="30" t="str">
        <x:v>Navigation</x:v>
      </x:c>
      <x:c r="D82" s="30" t="str">
        <x:v>User is authenticated; a data-dependent module is accessible.</x:v>
      </x:c>
      <x:c r="E82" s="30" t="str">
        <x:v>1. Open a data-dependent page while online.
2. Temporarily disable network connectivity.
3. Trigger refresh/load/navigation that needs remote data.
4. Observe error handling.
5. Restore the connection and retry.</x:v>
      </x:c>
      <x:c r="F82" s="30" t="str">
        <x:v>Temporary network interruption</x:v>
      </x:c>
      <x:c r="G82" s="30" t="str">
        <x:v>Connection failure is handled without application crash; the user receives usable feedback and can recover/retry after connectivity returns.</x:v>
      </x:c>
      <x:c r="H82" s="30" t="str">
        <x:v>When network/Firestore service availability is interrupted during Stock In, the application displays a raw Cloud Firestore error '[cloud_firestore/unavailable] The service is currently unavailable...' instead of a concise user-friendly connectivity message and recovery guidance.</x:v>
      </x:c>
      <x:c r="I82" s="30" t="str">
        <x:v>Fail</x:v>
      </x:c>
      <x:c r="J82" s="30" t="str">
        <x:v>Negative</x:v>
      </x:c>
      <x:c r="K82" s="30" t="str">
        <x:v>High</x:v>
      </x:c>
      <x:c r="L82" s="30" t="str">
        <x:v>06-Evidence/Navigation/TC-NAV-005.png</x:v>
      </x:c>
      <x:c r="M82" s="30" t="str">
        <x:v>Linked defect: BUG-003. Network interruption exposes raw Firestore service error to the user.</x:v>
      </x:c>
    </x:row>
  </x:sheetData>
  <x:mergeCells>
    <x:mergeCell ref="A1:M1"/>
    <x:mergeCell ref="A2:M2"/>
  </x:mergeCells>
  <x:conditionalFormatting sqref="K5:K82">
    <x:cfRule type="expression" dxfId="4" priority="5">
      <x:formula>K5="Critical"</x:formula>
    </x:cfRule>
    <x:cfRule type="expression" dxfId="5" priority="6">
      <x:formula>K5="High"</x:formula>
    </x:cfRule>
    <x:cfRule type="expression" dxfId="6" priority="7">
      <x:formula>K5="Medium"</x:formula>
    </x:cfRule>
  </x:conditionalFormatting>
  <x:conditionalFormatting sqref="I5:I82">
    <x:cfRule type="expression" dxfId="14" priority="8">
      <x:formula>I5="Pass"</x:formula>
    </x:cfRule>
    <x:cfRule type="expression" dxfId="15" priority="9">
      <x:formula>I5="Fail"</x:formula>
    </x:cfRule>
  </x:conditionalFormatting>
  <x:dataValidations count="1">
    <x:dataValidation type="list" sqref="I5:I82">
      <x:formula1>"Pass,Fail,Blocked,Not Executed"</x:formula1>
    </x:dataValidation>
  </x:dataValidations>
  <x:pageMargins left="0.7" right="0.7" top="0.75" bottom="0.75" header="0.3" footer="0.3"/>
  <x:tableParts count="1">
    <x:tablePart xmlns:r="http://schemas.openxmlformats.org/officeDocument/2006/relationships" r:id="R7d6dde9b763d4b9b"/>
  </x:tableParts>
</x:worksheet>
</file>

<file path=xl/worksheets/sheet2.xml><?xml version="1.0" encoding="utf-8"?>
<x:worksheet xmlns:x="http://schemas.openxmlformats.org/spreadsheetml/2006/main">
  <x:sheetFormatPr defaultRowHeight="15"/>
  <x:cols>
    <x:col min="1" max="1" width="24" hidden="0" customWidth="1"/>
    <x:col min="2" max="2" width="52" hidden="0" customWidth="1"/>
    <x:col min="3" max="3" width="42" hidden="0" customWidth="1"/>
    <x:col min="4" max="4" width="20" hidden="0" customWidth="1"/>
    <x:col min="5" max="5" width="14" hidden="0" customWidth="1"/>
    <x:col min="6" max="6" width="16" hidden="0" customWidth="1"/>
    <x:col min="7" max="7" width="16" hidden="0" customWidth="1"/>
    <x:col min="8" max="8" width="16" hidden="0" customWidth="1"/>
  </x:cols>
  <x:sheetData>
    <x:row r="1">
      <x:c r="A1" s="5" t="str">
        <x:v>Toko Abunawas QA Execution Summary</x:v>
      </x:c>
      <x:c r="B1" s="5"/>
      <x:c r="C1" s="5"/>
      <x:c r="D1" s="5"/>
      <x:c r="E1" s="5"/>
      <x:c r="F1" s="5"/>
      <x:c r="G1" s="5"/>
      <x:c r="H1" s="5"/>
    </x:row>
    <x:row r="3">
      <x:c r="A3" s="21" t="str">
        <x:v>KPI</x:v>
      </x:c>
      <x:c r="B3" s="21" t="str">
        <x:v>Value</x:v>
      </x:c>
      <x:c r="C3" s="28"/>
      <x:c r="D3" s="21" t="str">
        <x:v>Priority</x:v>
      </x:c>
      <x:c r="E3" s="21" t="str">
        <x:v>Count</x:v>
      </x:c>
    </x:row>
    <x:row r="4">
      <x:c r="A4" s="28" t="str">
        <x:v>Total Test Cases</x:v>
      </x:c>
      <x:c r="B4" s="28" t="n">
        <x:f>COUNTA('Test Cases'!A5:A82)</x:f>
        <x:v>78</x:v>
      </x:c>
      <x:c r="C4" s="28"/>
      <x:c r="D4" s="28" t="str">
        <x:v>Critical</x:v>
      </x:c>
      <x:c r="E4" s="28" t="n">
        <x:f>COUNTIF('Test Cases'!K5:K82,"Critical")</x:f>
        <x:v>24</x:v>
      </x:c>
    </x:row>
    <x:row r="5">
      <x:c r="A5" s="28" t="str">
        <x:v>Pass</x:v>
      </x:c>
      <x:c r="B5" s="28" t="n">
        <x:f>COUNTIF('Test Cases'!I5:I82,"Pass")</x:f>
        <x:v>75</x:v>
      </x:c>
      <x:c r="C5" s="28"/>
      <x:c r="D5" s="28" t="str">
        <x:v>High</x:v>
      </x:c>
      <x:c r="E5" s="28" t="n">
        <x:f>COUNTIF('Test Cases'!K5:K82,"High")</x:f>
        <x:v>45</x:v>
      </x:c>
    </x:row>
    <x:row r="6">
      <x:c r="A6" s="28" t="str">
        <x:v>Fail</x:v>
      </x:c>
      <x:c r="B6" s="28" t="n">
        <x:f>COUNTIF('Test Cases'!I5:I82,"Fail")</x:f>
        <x:v>3</x:v>
      </x:c>
      <x:c r="C6" s="28"/>
      <x:c r="D6" s="28" t="str">
        <x:v>Medium</x:v>
      </x:c>
      <x:c r="E6" s="28" t="n">
        <x:f>COUNTIF('Test Cases'!K5:K82,"Medium")</x:f>
        <x:v>9</x:v>
      </x:c>
    </x:row>
    <x:row r="7">
      <x:c r="A7" s="28" t="str">
        <x:v>Blocked</x:v>
      </x:c>
      <x:c r="B7" s="28" t="n">
        <x:f>COUNTIF('Test Cases'!I5:I82,"Blocked")</x:f>
        <x:v>0</x:v>
      </x:c>
      <x:c r="C7" s="28"/>
      <x:c r="D7" s="28" t="str">
        <x:v>Low</x:v>
      </x:c>
      <x:c r="E7" s="28" t="n">
        <x:f>COUNTIF('Test Cases'!K5:K82,"Low")</x:f>
        <x:v>0</x:v>
      </x:c>
    </x:row>
    <x:row r="8">
      <x:c r="A8" s="28" t="str">
        <x:v>Not Executed</x:v>
      </x:c>
      <x:c r="B8" s="28" t="n">
        <x:f>COUNTIF('Test Cases'!I5:I82,"Not Executed")</x:f>
        <x:v>0</x:v>
      </x:c>
      <x:c r="C8" s="28"/>
      <x:c r="D8" s="28"/>
      <x:c r="E8" s="28"/>
    </x:row>
    <x:row r="9">
      <x:c r="A9" s="28" t="str">
        <x:v>Execution Progress</x:v>
      </x:c>
      <x:c r="B9" s="44" t="n">
        <x:f>IFERROR((B5+B6+B7)/B4,0)</x:f>
        <x:v>1</x:v>
      </x:c>
      <x:c r="C9" s="28"/>
      <x:c r="D9" s="28"/>
      <x:c r="E9" s="28"/>
    </x:row>
    <x:row r="10">
      <x:c r="A10" s="28" t="str">
        <x:v>Pass Rate (Executed)</x:v>
      </x:c>
      <x:c r="B10" s="44" t="n">
        <x:f>IFERROR(B5/(B5+B6),0)</x:f>
        <x:v>0.9615384615384616</x:v>
      </x:c>
      <x:c r="C10" s="28"/>
      <x:c r="D10" s="28"/>
      <x:c r="E10" s="28"/>
    </x:row>
    <x:row r="11">
      <x:c r="A11" s="28"/>
      <x:c r="B11" s="28"/>
      <x:c r="C11" s="28"/>
      <x:c r="D11" s="28"/>
      <x:c r="E11" s="28"/>
    </x:row>
    <x:row r="12">
      <x:c r="A12" s="28"/>
      <x:c r="B12" s="28"/>
      <x:c r="C12" s="28"/>
      <x:c r="D12" s="28"/>
      <x:c r="E12" s="28"/>
    </x:row>
    <x:row r="13">
      <x:c r="A13" s="21" t="str">
        <x:v>Module</x:v>
      </x:c>
      <x:c r="B13" s="21" t="str">
        <x:v>Total Cases</x:v>
      </x:c>
      <x:c r="C13" s="21" t="str">
        <x:v>Final execution note:
• All 78 test cases have been manually executed.
• Final result: 75 PASS, 3 FAIL, 0 BLOCKED, 0 NOT EXECUTED.
• Confirmed defects: BUG-001 (unknown QR exposes Firestore assertion), BUG-002 (Transaction History back arrow inconsistency), and BUG-003 (network interruption exposes raw Firestore unavailable error).
• Screenshot evidence is prioritized for defects, critical/high-risk scenarios, and representative functional tests.
• TC-NAV-003 and TC-NAV-004 are observational tests executed across multiple flows/pages and therefore do not use a dedicated screenshot.</x:v>
      </x:c>
      <x:c r="D13" s="39"/>
      <x:c r="E13" s="39"/>
      <x:c r="F13" s="39"/>
      <x:c r="G13" s="39"/>
      <x:c r="H13" s="39"/>
    </x:row>
    <x:row r="14">
      <x:c r="A14" s="28" t="str">
        <x:v>Authentication</x:v>
      </x:c>
      <x:c r="B14" s="28" t="n">
        <x:f>COUNTIF('Test Cases'!C5:C82,"Authentication")</x:f>
        <x:v>10</x:v>
      </x:c>
      <x:c r="C14" s="28" t="n">
        <x:f>COUNTIFS('Test Cases'!C5:C82,"Authentication",'Test Cases'!I5:I82,"&lt;&gt;Not Executed")</x:f>
        <x:v>10</x:v>
      </x:c>
      <x:c r="D14" s="39"/>
      <x:c r="E14" s="39"/>
      <x:c r="F14" s="39"/>
      <x:c r="G14" s="39"/>
      <x:c r="H14" s="39"/>
    </x:row>
    <x:row r="15">
      <x:c r="A15" s="28" t="str">
        <x:v>Dashboard</x:v>
      </x:c>
      <x:c r="B15" s="28" t="n">
        <x:f>COUNTIF('Test Cases'!C5:C82,"Dashboard")</x:f>
        <x:v>5</x:v>
      </x:c>
      <x:c r="C15" s="28" t="n">
        <x:f>COUNTIFS('Test Cases'!C5:C82,"Dashboard",'Test Cases'!I5:I82,"&lt;&gt;Not Executed")</x:f>
        <x:v>5</x:v>
      </x:c>
      <x:c r="D15" s="39"/>
      <x:c r="E15" s="39"/>
      <x:c r="F15" s="39"/>
      <x:c r="G15" s="39"/>
      <x:c r="H15" s="39"/>
    </x:row>
    <x:row r="16">
      <x:c r="A16" s="28" t="str">
        <x:v>Product Management</x:v>
      </x:c>
      <x:c r="B16" s="28" t="n">
        <x:f>COUNTIF('Test Cases'!C5:C82,"Product Management")</x:f>
        <x:v>10</x:v>
      </x:c>
      <x:c r="C16" s="28" t="n">
        <x:f>COUNTIFS('Test Cases'!C5:C82,"Product Management",'Test Cases'!I5:I82,"&lt;&gt;Not Executed")</x:f>
        <x:v>10</x:v>
      </x:c>
      <x:c r="D16" s="39"/>
      <x:c r="E16" s="39"/>
      <x:c r="F16" s="39"/>
      <x:c r="G16" s="39"/>
      <x:c r="H16" s="39"/>
    </x:row>
    <x:row r="17">
      <x:c r="A17" s="28" t="str">
        <x:v>Stock In</x:v>
      </x:c>
      <x:c r="B17" s="28" t="n">
        <x:f>COUNTIF('Test Cases'!C5:C82,"Stock In")</x:f>
        <x:v>9</x:v>
      </x:c>
      <x:c r="C17" s="28" t="n">
        <x:f>COUNTIFS('Test Cases'!C5:C82,"Stock In",'Test Cases'!I5:I82,"&lt;&gt;Not Executed")</x:f>
        <x:v>9</x:v>
      </x:c>
      <x:c r="D17" s="39"/>
      <x:c r="E17" s="39"/>
      <x:c r="F17" s="39"/>
      <x:c r="G17" s="39"/>
      <x:c r="H17" s="39"/>
    </x:row>
    <x:row r="18">
      <x:c r="A18" s="28" t="str">
        <x:v>Stock Out</x:v>
      </x:c>
      <x:c r="B18" s="28" t="n">
        <x:f>COUNTIF('Test Cases'!C5:C82,"Stock Out")</x:f>
        <x:v>10</x:v>
      </x:c>
      <x:c r="C18" s="28" t="n">
        <x:f>COUNTIFS('Test Cases'!C5:C82,"Stock Out",'Test Cases'!I5:I82,"&lt;&gt;Not Executed")</x:f>
        <x:v>10</x:v>
      </x:c>
      <x:c r="D18" s="39"/>
      <x:c r="E18" s="39"/>
      <x:c r="F18" s="39"/>
      <x:c r="G18" s="39"/>
      <x:c r="H18" s="39"/>
    </x:row>
    <x:row r="19">
      <x:c r="A19" s="28" t="str">
        <x:v>Scanner</x:v>
      </x:c>
      <x:c r="B19" s="28" t="n">
        <x:f>COUNTIF('Test Cases'!C5:C82,"Scanner")</x:f>
        <x:v>5</x:v>
      </x:c>
      <x:c r="C19" s="28" t="n">
        <x:f>COUNTIFS('Test Cases'!C5:C82,"Scanner",'Test Cases'!I5:I82,"&lt;&gt;Not Executed")</x:f>
        <x:v>5</x:v>
      </x:c>
      <x:c r="D19" s="28"/>
      <x:c r="E19" s="28"/>
    </x:row>
    <x:row r="20">
      <x:c r="A20" s="28" t="str">
        <x:v>History</x:v>
      </x:c>
      <x:c r="B20" s="28" t="n">
        <x:f>COUNTIF('Test Cases'!C5:C82,"History")</x:f>
        <x:v>5</x:v>
      </x:c>
      <x:c r="C20" s="28" t="n">
        <x:f>COUNTIFS('Test Cases'!C5:C82,"History",'Test Cases'!I5:I82,"&lt;&gt;Not Executed")</x:f>
        <x:v>5</x:v>
      </x:c>
      <x:c r="D20" s="28"/>
      <x:c r="E20" s="28"/>
    </x:row>
    <x:row r="21">
      <x:c r="A21" s="28" t="str">
        <x:v>Reports</x:v>
      </x:c>
      <x:c r="B21" s="28" t="n">
        <x:f>COUNTIF('Test Cases'!C5:C82,"Reports")</x:f>
        <x:v>5</x:v>
      </x:c>
      <x:c r="C21" s="28" t="n">
        <x:f>COUNTIFS('Test Cases'!C5:C82,"Reports",'Test Cases'!I5:I82,"&lt;&gt;Not Executed")</x:f>
        <x:v>5</x:v>
      </x:c>
      <x:c r="D21" s="28"/>
      <x:c r="E21" s="28"/>
    </x:row>
    <x:row r="22">
      <x:c r="A22" s="28" t="str">
        <x:v>User Management</x:v>
      </x:c>
      <x:c r="B22" s="28" t="n">
        <x:f>COUNTIF('Test Cases'!C5:C82,"User Management")</x:f>
        <x:v>7</x:v>
      </x:c>
      <x:c r="C22" s="28" t="n">
        <x:f>COUNTIFS('Test Cases'!C5:C82,"User Management",'Test Cases'!I5:I82,"&lt;&gt;Not Executed")</x:f>
        <x:v>7</x:v>
      </x:c>
      <x:c r="D22" s="28"/>
      <x:c r="E22" s="28"/>
    </x:row>
    <x:row r="23">
      <x:c r="A23" s="28" t="str">
        <x:v>Alerts</x:v>
      </x:c>
      <x:c r="B23" s="28" t="n">
        <x:f>COUNTIF('Test Cases'!C5:C82,"Alerts")</x:f>
        <x:v>3</x:v>
      </x:c>
      <x:c r="C23" s="28" t="n">
        <x:f>COUNTIFS('Test Cases'!C5:C82,"Alerts",'Test Cases'!I5:I82,"&lt;&gt;Not Executed")</x:f>
        <x:v>3</x:v>
      </x:c>
      <x:c r="D23" s="28"/>
      <x:c r="E23" s="28"/>
    </x:row>
    <x:row r="24">
      <x:c r="A24" s="28" t="str">
        <x:v>Analysis</x:v>
      </x:c>
      <x:c r="B24" s="28" t="n">
        <x:f>COUNTIF('Test Cases'!C5:C82,"Analysis")</x:f>
        <x:v>4</x:v>
      </x:c>
      <x:c r="C24" s="28" t="n">
        <x:f>COUNTIFS('Test Cases'!C5:C82,"Analysis",'Test Cases'!I5:I82,"&lt;&gt;Not Executed")</x:f>
        <x:v>4</x:v>
      </x:c>
      <x:c r="D24" s="28"/>
      <x:c r="E24" s="28"/>
    </x:row>
    <x:row r="25">
      <x:c r="A25" s="28" t="str">
        <x:v>Navigation</x:v>
      </x:c>
      <x:c r="B25" s="28" t="n">
        <x:f>COUNTIF('Test Cases'!C5:C82,"Navigation")</x:f>
        <x:v>5</x:v>
      </x:c>
      <x:c r="C25" s="28" t="n">
        <x:f>COUNTIFS('Test Cases'!C5:C82,"Navigation",'Test Cases'!I5:I82,"&lt;&gt;Not Executed")</x:f>
        <x:v>5</x:v>
      </x:c>
      <x:c r="D25" s="28"/>
      <x:c r="E25" s="28"/>
    </x:row>
    <x:row r="27">
      <x:c r="A27" s="21" t="str">
        <x:v>Reference</x:v>
      </x:c>
      <x:c r="B27" s="21" t="str">
        <x:v>Value</x:v>
      </x:c>
    </x:row>
    <x:row r="28">
      <x:c r="A28" s="28" t="str">
        <x:v>Source Repository</x:v>
      </x:c>
      <x:c r="B28" s="28" t="str">
        <x:v>https://github.com/Bayusukmoadji/toko_abunawas_apk</x:v>
      </x:c>
    </x:row>
    <x:row r="29">
      <x:c r="A29" s="28" t="str">
        <x:v>Scenario Workbook</x:v>
      </x:c>
      <x:c r="B29" s="28" t="str">
        <x:v>Test_Scenarios.xlsx</x:v>
      </x:c>
    </x:row>
    <x:row r="30">
      <x:c r="A30" s="28" t="str">
        <x:v>Prepared For</x:v>
      </x:c>
      <x:c r="B30" s="28" t="str">
        <x:v>Software Quality Assurance Portfolio</x:v>
      </x:c>
    </x:row>
    <x:row r="31">
      <x:c r="A31" t="str">
        <x:v>Final Execution Date</x:v>
      </x:c>
      <x:c r="B31" t="str">
        <x:v>2026-09-10</x:v>
      </x:c>
    </x:row>
    <x:row r="32">
      <x:c r="A32" t="str">
        <x:v>Test Cycle Status</x:v>
      </x:c>
      <x:c r="B32" t="str">
        <x:v>COMPLETED WITH OPEN DEFECTS</x:v>
      </x:c>
    </x:row>
    <x:row r="33">
      <x:c r="A33" t="str">
        <x:v>Confirmed Open Defects</x:v>
      </x:c>
      <x:c r="B33" t="n">
        <x:v>3</x:v>
      </x:c>
    </x:row>
    <x:row r="34">
      <x:c r="A34" t="str">
        <x:v>Defect IDs</x:v>
      </x:c>
      <x:c r="B34" t="str">
        <x:v>BUG-001; BUG-002; BUG-003</x:v>
      </x:c>
    </x:row>
    <x:row r="35">
      <x:c r="A35" t="str">
        <x:v>Final Recommendation</x:v>
      </x:c>
      <x:c r="B35" t="str">
        <x:v>Fix defects, retest failed cases, then run focused regression testing.</x:v>
      </x:c>
    </x:row>
  </x:sheetData>
  <x:mergeCells>
    <x:mergeCell ref="A1:H1"/>
    <x:mergeCell ref="D13:H18"/>
  </x:mergeCells>
  <x:pageMargins left="0.7" right="0.7" top="0.75" bottom="0.75" header="0.3" footer="0.3"/>
  <x:drawing xmlns:r="http://schemas.openxmlformats.org/officeDocument/2006/relationships" r:id="R26c15b3985c94588"/>
</x:worksheet>
</file>