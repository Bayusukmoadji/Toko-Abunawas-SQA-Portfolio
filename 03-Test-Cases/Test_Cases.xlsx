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ad5ebadcda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9a6b85a42f894d3e"/>
    <x:sheet xmlns:r="http://schemas.openxmlformats.org/officeDocument/2006/relationships" name="Summary" sheetId="2" r:id="Radb9ec634f1345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7F6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10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783F04"/>
      </x:font>
      <x:fill>
        <x:patternFill>
          <x:bgColor rgb="FFFCE5CD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00b2ac44945a0" /><Relationship Type="http://schemas.openxmlformats.org/officeDocument/2006/relationships/theme" Target="/xl/theme/theme1.xml" Id="R6f2098be9df14a6b" /><Relationship Type="http://schemas.openxmlformats.org/officeDocument/2006/relationships/sharedStrings" Target="/xl/sharedStrings.xml" Id="Ra192168f599f4043" /><Relationship Type="http://schemas.openxmlformats.org/officeDocument/2006/relationships/worksheet" Target="/xl/worksheets/sheet1.xml" Id="R9a6b85a42f894d3e" /><Relationship Type="http://schemas.openxmlformats.org/officeDocument/2006/relationships/worksheet" Target="/xl/worksheets/sheet2.xml" Id="Radb9ec634f1345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a6f9e4c184427f" /><Relationship Type="http://schemas.openxmlformats.org/officeDocument/2006/relationships/chart" Target="/xl/drawings/charts/chart2.xml" Id="Rbfbb9fc6174141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Test Execution Status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'Summary'!$A$4:$A$8</c:f>
              <c:strCache>
                <c:ptCount val="0"/>
              </c:strCache>
            </c:strRef>
          </c:cat>
          <c:val>
            <c:numRef>
              <c:f>'Summary'!$B$4:$B$8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Module Test Coverage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Cases</c:v>
          </c:tx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'Summary'!$B$14:$B$25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Executed Cases</c:v>
          </c:tx>
          <c:cat>
            <c:strRef>
              <c:f>'Summary'!$A$14:$A$25</c:f>
              <c:strCache>
                <c:ptCount val="0"/>
              </c:strCache>
            </c:strRef>
          </c:cat>
          <c:val>
            <c:numRef>
              <c:f>'Summary'!$C$14:$C$25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</xdr:row>
      <xdr:rowOff>0</xdr:rowOff>
    </xdr:from>
    <xdr:to>
      <xdr:col>8</xdr:col>
      <xdr:colOff>0</xdr:colOff>
      <xdr:row>11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a6f9e4c184427f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11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bb9fc6174141b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estCasesTable" displayName="TestCasesTable" ref="A4:M82" headerRowCount="1" totalsRowCount="0" totalsRowShown="0">
  <x:tableColumns count="13">
    <x:tableColumn id="1" name="Test Case ID"/>
    <x:tableColumn id="2" name="Scenario ID"/>
    <x:tableColumn id="3" name="Module"/>
    <x:tableColumn id="4" name="Preconditions"/>
    <x:tableColumn id="5" name="Test Steps"/>
    <x:tableColumn id="6" name="Test Data"/>
    <x:tableColumn id="7" name="Expected Result"/>
    <x:tableColumn id="8" name="Actual Result"/>
    <x:tableColumn id="9" name="Status"/>
    <x:tableColumn id="10" name="Test Type"/>
    <x:tableColumn id="11" name="Priority"/>
    <x:tableColumn id="12" name="Evidence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297b6aed3cc40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b740f9ebc874b24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38" hidden="0" customWidth="1"/>
    <x:col min="5" max="5" width="48" hidden="0" customWidth="1"/>
    <x:col min="6" max="6" width="30" hidden="0" customWidth="1"/>
    <x:col min="7" max="7" width="42" hidden="0" customWidth="1"/>
    <x:col min="8" max="8" width="38" hidden="0" customWidth="1"/>
    <x:col min="9" max="9" width="16" hidden="0" customWidth="1"/>
    <x:col min="10" max="10" width="18" hidden="0" customWidth="1"/>
    <x:col min="11" max="11" width="12" hidden="0" customWidth="1"/>
    <x:col min="12" max="12" width="26" hidden="0" customWidth="1"/>
    <x:col min="13" max="13" width="34" hidden="0" customWidth="1"/>
  </x:cols>
  <x:sheetData>
    <x:row r="1" ht="28" customHeight="1">
      <x:c r="A1" s="5" t="str">
        <x:v>Toko Abunawas - Software QA Test Cases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22" customHeight="1">
      <x:c r="A2" s="13" t="str">
        <x:v>Formal manual black-box test execution | Final execution: 78/78 test cases PASS | Evidence captured for every executed case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4" customHeight="1">
      <x:c r="A4" s="22" t="str">
        <x:v>Test Case ID</x:v>
      </x:c>
      <x:c r="B4" s="22" t="str">
        <x:v>Scenario ID</x:v>
      </x:c>
      <x:c r="C4" s="22" t="str">
        <x:v>Module</x:v>
      </x:c>
      <x:c r="D4" s="22" t="str">
        <x:v>Preconditions</x:v>
      </x:c>
      <x:c r="E4" s="22" t="str">
        <x:v>Test Steps</x:v>
      </x:c>
      <x:c r="F4" s="22" t="str">
        <x:v>Test Data</x:v>
      </x:c>
      <x:c r="G4" s="22" t="str">
        <x:v>Expected Result</x:v>
      </x:c>
      <x:c r="H4" s="22" t="str">
        <x:v>Actual Result</x:v>
      </x:c>
      <x:c r="I4" s="22" t="str">
        <x:v>Status</x:v>
      </x:c>
      <x:c r="J4" s="22" t="str">
        <x:v>Test Type</x:v>
      </x:c>
      <x:c r="K4" s="22" t="str">
        <x:v>Priority</x:v>
      </x:c>
      <x:c r="L4" s="22" t="str">
        <x:v>Evidence</x:v>
      </x:c>
      <x:c r="M4" s="22" t="str">
        <x:v>Notes</x:v>
      </x:c>
    </x:row>
    <x:row r="5">
      <x:c r="A5" s="30" t="str">
        <x:v>TC-AUTH-001</x:v>
      </x:c>
      <x:c r="B5" s="30" t="str">
        <x:v>TS-AUTH-001</x:v>
      </x:c>
      <x:c r="C5" s="30" t="str">
        <x:v>Authentication</x:v>
      </x:c>
      <x:c r="D5" s="30" t="str">
        <x:v>A registered and active user account exists; application is on the login page.</x:v>
      </x:c>
      <x:c r="E5" s="30" t="str">
        <x:v>1. Open the application.
2. Enter a valid registered email.
3. Enter the correct password.
4. Tap the Login button.</x:v>
      </x:c>
      <x:c r="F5" s="30" t="str">
        <x:v>Valid registered email; valid password</x:v>
      </x:c>
      <x:c r="G5" s="30" t="str">
        <x:v>Authentication succeeds and the user is granted access to the application.</x:v>
      </x:c>
      <x:c r="H5" s="30" t="str">
        <x:v>Observed behavior matched the expected result: Authentication succeeds and the user is granted access to the application.</x:v>
      </x:c>
      <x:c r="I5" s="30" t="str">
        <x:v>Pass</x:v>
      </x:c>
      <x:c r="J5" s="30" t="str">
        <x:v>Positive</x:v>
      </x:c>
      <x:c r="K5" s="30" t="str">
        <x:v>Critical</x:v>
      </x:c>
      <x:c r="L5" s="30" t="str">
        <x:v>06-Evidence/Authentication/TC-AUTH-001.png</x:v>
      </x:c>
      <x:c r="M5" s="30" t="str">
        <x:v>Formally re-executed on 2026-09-03; screenshot evidence captured. Final result: PASS.</x:v>
      </x:c>
    </x:row>
    <x:row r="6">
      <x:c r="A6" s="30" t="str">
        <x:v>TC-AUTH-002</x:v>
      </x:c>
      <x:c r="B6" s="30" t="str">
        <x:v>TS-AUTH-002</x:v>
      </x:c>
      <x:c r="C6" s="30" t="str">
        <x:v>Authentication</x:v>
      </x:c>
      <x:c r="D6" s="30" t="str">
        <x:v>A registered and active user account exists; application is on the login page.</x:v>
      </x:c>
      <x:c r="E6" s="30" t="str">
        <x:v>1. Open the login page.
2. Enter a valid registered email.
3. Enter an incorrect password.
4. Tap Login.</x:v>
      </x:c>
      <x:c r="F6" s="30" t="str">
        <x:v>Valid registered email; incorrect password</x:v>
      </x:c>
      <x:c r="G6" s="30" t="str">
        <x:v>Login is rejected and an appropriate authentication error is shown; user remains unauthenticated.</x:v>
      </x:c>
      <x:c r="H6" s="30" t="str">
        <x:v>Observed behavior matched the expected result: Login is rejected and an appropriate authentication error is shown; user remains unauthenticated.</x:v>
      </x:c>
      <x:c r="I6" s="30" t="str">
        <x:v>Pass</x:v>
      </x:c>
      <x:c r="J6" s="30" t="str">
        <x:v>Negative</x:v>
      </x:c>
      <x:c r="K6" s="30" t="str">
        <x:v>High</x:v>
      </x:c>
      <x:c r="L6" s="30" t="str">
        <x:v>06-Evidence/Authentication/TC-AUTH-002.png</x:v>
      </x:c>
      <x:c r="M6" s="30" t="str">
        <x:v>Formally re-executed on 2026-09-03; screenshot evidence captured. Final result: PASS.</x:v>
      </x:c>
    </x:row>
    <x:row r="7">
      <x:c r="A7" s="30" t="str">
        <x:v>TC-AUTH-003</x:v>
      </x:c>
      <x:c r="B7" s="30" t="str">
        <x:v>TS-AUTH-003</x:v>
      </x:c>
      <x:c r="C7" s="30" t="str">
        <x:v>Authentication</x:v>
      </x:c>
      <x:c r="D7" s="30" t="str">
        <x:v>Application is on the login page.</x:v>
      </x:c>
      <x:c r="E7" s="30" t="str">
        <x:v>1. Open the login page.
2. Enter an email that is not registered.
3. Enter a password.
4. Tap Login.</x:v>
      </x:c>
      <x:c r="F7" s="30" t="str">
        <x:v>Unregistered email; any password</x:v>
      </x:c>
      <x:c r="G7" s="30" t="str">
        <x:v>Login is rejected and the user is not granted access.</x:v>
      </x:c>
      <x:c r="H7" s="30" t="str">
        <x:v>Observed behavior matched the expected result: Login is rejected and the user is not granted access.</x:v>
      </x:c>
      <x:c r="I7" s="30" t="str">
        <x:v>Pass</x:v>
      </x:c>
      <x:c r="J7" s="30" t="str">
        <x:v>Negative</x:v>
      </x:c>
      <x:c r="K7" s="30" t="str">
        <x:v>High</x:v>
      </x:c>
      <x:c r="L7" s="30" t="str">
        <x:v>06-Evidence/Authentication/TC-AUTH-003.png</x:v>
      </x:c>
      <x:c r="M7" s="30" t="str">
        <x:v>Formally re-executed on 2026-09-03; screenshot evidence captured. Final result: PASS.</x:v>
      </x:c>
    </x:row>
    <x:row r="8">
      <x:c r="A8" s="30" t="str">
        <x:v>TC-AUTH-004</x:v>
      </x:c>
      <x:c r="B8" s="30" t="str">
        <x:v>TS-AUTH-004</x:v>
      </x:c>
      <x:c r="C8" s="30" t="str">
        <x:v>Authentication</x:v>
      </x:c>
      <x:c r="D8" s="30" t="str">
        <x:v>Application is on the login page.</x:v>
      </x:c>
      <x:c r="E8" s="30" t="str">
        <x:v>1. Open the login page.
2. Leave the email field empty.
3. Enter a password.
4. Tap Login.</x:v>
      </x:c>
      <x:c r="F8" s="30" t="str">
        <x:v>Email: blank; Password: valid/non-empty</x:v>
      </x:c>
      <x:c r="G8" s="30" t="str">
        <x:v>Validation prevents login and indicates that email is required.</x:v>
      </x:c>
      <x:c r="H8" s="30" t="str">
        <x:v>Observed behavior matched the expected result: Validation prevents login and indicates that email is required.</x:v>
      </x:c>
      <x:c r="I8" s="30" t="str">
        <x:v>Pass</x:v>
      </x:c>
      <x:c r="J8" s="30" t="str">
        <x:v>Validation</x:v>
      </x:c>
      <x:c r="K8" s="30" t="str">
        <x:v>High</x:v>
      </x:c>
      <x:c r="L8" s="30" t="str">
        <x:v>06-Evidence/Authentication/TC-AUTH-004.png</x:v>
      </x:c>
      <x:c r="M8" s="30" t="str">
        <x:v>Formally re-executed on 2026-09-03; screenshot evidence captured. Final result: PASS.</x:v>
      </x:c>
    </x:row>
    <x:row r="9">
      <x:c r="A9" s="30" t="str">
        <x:v>TC-AUTH-005</x:v>
      </x:c>
      <x:c r="B9" s="30" t="str">
        <x:v>TS-AUTH-005</x:v>
      </x:c>
      <x:c r="C9" s="30" t="str">
        <x:v>Authentication</x:v>
      </x:c>
      <x:c r="D9" s="30" t="str">
        <x:v>Application is on the login page.</x:v>
      </x:c>
      <x:c r="E9" s="30" t="str">
        <x:v>1. Open the login page.
2. Enter an email.
3. Leave password empty.
4. Tap Login.</x:v>
      </x:c>
      <x:c r="F9" s="30" t="str">
        <x:v>Email: valid/non-empty; Password: blank</x:v>
      </x:c>
      <x:c r="G9" s="30" t="str">
        <x:v>Validation prevents login and indicates that password is required.</x:v>
      </x:c>
      <x:c r="H9" s="30" t="str">
        <x:v>Observed behavior matched the expected result: Validation prevents login and indicates that password is required.</x:v>
      </x:c>
      <x:c r="I9" s="30" t="str">
        <x:v>Pass</x:v>
      </x:c>
      <x:c r="J9" s="30" t="str">
        <x:v>Validation</x:v>
      </x:c>
      <x:c r="K9" s="30" t="str">
        <x:v>High</x:v>
      </x:c>
      <x:c r="L9" s="30" t="str">
        <x:v>06-Evidence/Authentication/TC-AUTH-005.png</x:v>
      </x:c>
      <x:c r="M9" s="30" t="str">
        <x:v>Formally re-executed on 2026-09-03; screenshot evidence captured. Final result: PASS.</x:v>
      </x:c>
    </x:row>
    <x:row r="10">
      <x:c r="A10" s="30" t="str">
        <x:v>TC-AUTH-006</x:v>
      </x:c>
      <x:c r="B10" s="30" t="str">
        <x:v>TS-AUTH-006</x:v>
      </x:c>
      <x:c r="C10" s="30" t="str">
        <x:v>Authentication</x:v>
      </x:c>
      <x:c r="D10" s="30" t="str">
        <x:v>Application is on the login page.</x:v>
      </x:c>
      <x:c r="E10" s="30" t="str">
        <x:v>1. Open the login page.
2. Leave both fields empty.
3. Tap Login.</x:v>
      </x:c>
      <x:c r="F10" s="30" t="str">
        <x:v>Email: blank; Password: blank</x:v>
      </x:c>
      <x:c r="G10" s="30" t="str">
        <x:v>Validation prevents login and informs the user that required credentials must be provided.</x:v>
      </x:c>
      <x:c r="H10" s="30" t="str">
        <x:v>Observed behavior matched the expected result: Validation prevents login and informs the user that required credentials must be provided.</x:v>
      </x:c>
      <x:c r="I10" s="30" t="str">
        <x:v>Pass</x:v>
      </x:c>
      <x:c r="J10" s="30" t="str">
        <x:v>Validation</x:v>
      </x:c>
      <x:c r="K10" s="30" t="str">
        <x:v>High</x:v>
      </x:c>
      <x:c r="L10" s="30" t="str">
        <x:v>06-Evidence/Authentication/TC-AUTH-006.png</x:v>
      </x:c>
      <x:c r="M10" s="30" t="str">
        <x:v>Formally re-executed on 2026-09-03; screenshot evidence captured. Final result: PASS.</x:v>
      </x:c>
    </x:row>
    <x:row r="11">
      <x:c r="A11" s="30" t="str">
        <x:v>TC-AUTH-007</x:v>
      </x:c>
      <x:c r="B11" s="30" t="str">
        <x:v>TS-AUTH-007</x:v>
      </x:c>
      <x:c r="C11" s="30" t="str">
        <x:v>Authentication</x:v>
      </x:c>
      <x:c r="D11" s="30" t="str">
        <x:v>An authentication account exists and its application profile/status is inactive.</x:v>
      </x:c>
      <x:c r="E11" s="30" t="str">
        <x:v>1. Open the login page.
2. Enter credentials of an inactive user.
3. Tap Login.
4. Observe access behavior.</x:v>
      </x:c>
      <x:c r="F11" s="30" t="str">
        <x:v>Inactive account email and valid password</x:v>
      </x:c>
      <x:c r="G11" s="30" t="str">
        <x:v>The inactive account is denied access and remains signed out.</x:v>
      </x:c>
      <x:c r="H11" s="30" t="str">
        <x:v>Observed behavior matched the expected result: The inactive account is denied access and remains signed out.</x:v>
      </x:c>
      <x:c r="I11" s="30" t="str">
        <x:v>Pass</x:v>
      </x:c>
      <x:c r="J11" s="30" t="str">
        <x:v>Negative</x:v>
      </x:c>
      <x:c r="K11" s="30" t="str">
        <x:v>Critical</x:v>
      </x:c>
      <x:c r="L11" s="30" t="str">
        <x:v>06-Evidence/Authentication/TC-AUTH-007.png</x:v>
      </x:c>
      <x:c r="M11" s="30" t="str">
        <x:v>Formally re-executed on 2026-09-03; screenshot evidence captured. Final result: PASS.</x:v>
      </x:c>
    </x:row>
    <x:row r="12">
      <x:c r="A12" s="30" t="str">
        <x:v>TC-AUTH-008</x:v>
      </x:c>
      <x:c r="B12" s="30" t="str">
        <x:v>TS-AUTH-008</x:v>
      </x:c>
      <x:c r="C12" s="30" t="str">
        <x:v>Authentication</x:v>
      </x:c>
      <x:c r="D12" s="30" t="str">
        <x:v>Application is on the login page.</x:v>
      </x:c>
      <x:c r="E12" s="30" t="str">
        <x:v>1. Enter a password.
2. Tap the password visibility icon.
3. Observe password display.
4. Tap the icon again.</x:v>
      </x:c>
      <x:c r="F12" s="30" t="str">
        <x:v>Any password text</x:v>
      </x:c>
      <x:c r="G12" s="30" t="str">
        <x:v>Password visibility toggles between masked and visible without changing the entered value.</x:v>
      </x:c>
      <x:c r="H12" s="30" t="str">
        <x:v>Observed behavior matched the expected result: Password visibility toggles between masked and visible without changing the entered value.</x:v>
      </x:c>
      <x:c r="I12" s="30" t="str">
        <x:v>Pass</x:v>
      </x:c>
      <x:c r="J12" s="30" t="str">
        <x:v>Functional</x:v>
      </x:c>
      <x:c r="K12" s="30" t="str">
        <x:v>Medium</x:v>
      </x:c>
      <x:c r="L12" s="30" t="str">
        <x:v>06-Evidence/Authentication/TC-AUTH-008.png</x:v>
      </x:c>
      <x:c r="M12" s="30" t="str">
        <x:v>Formally re-executed on 2026-09-03; screenshot evidence captured. Final result: PASS.</x:v>
      </x:c>
    </x:row>
    <x:row r="13">
      <x:c r="A13" s="30" t="str">
        <x:v>TC-AUTH-009</x:v>
      </x:c>
      <x:c r="B13" s="30" t="str">
        <x:v>TS-AUTH-009</x:v>
      </x:c>
      <x:c r="C13" s="30" t="str">
        <x:v>Authentication</x:v>
      </x:c>
      <x:c r="D13" s="30" t="str">
        <x:v>A valid active account exists; application is on the login page.</x:v>
      </x:c>
      <x:c r="E13" s="30" t="str">
        <x:v>1. Login using valid credentials.
2. Wait for authentication to complete.
3. Observe the destination page.</x:v>
      </x:c>
      <x:c r="F13" s="30" t="str">
        <x:v>Valid email and password</x:v>
      </x:c>
      <x:c r="G13" s="30" t="str">
        <x:v>After successful authentication, the user is redirected to the dashboard.</x:v>
      </x:c>
      <x:c r="H13" s="30" t="str">
        <x:v>Observed behavior matched the expected result: After successful authentication, the user is redirected to the dashboard.</x:v>
      </x:c>
      <x:c r="I13" s="30" t="str">
        <x:v>Pass</x:v>
      </x:c>
      <x:c r="J13" s="30" t="str">
        <x:v>Functional</x:v>
      </x:c>
      <x:c r="K13" s="30" t="str">
        <x:v>Critical</x:v>
      </x:c>
      <x:c r="L13" s="30" t="str">
        <x:v>06-Evidence/Authentication/TC-AUTH-009.png</x:v>
      </x:c>
      <x:c r="M13" s="30" t="str">
        <x:v>Formally re-executed on 2026-09-03; screenshot evidence captured. Final result: PASS.</x:v>
      </x:c>
    </x:row>
    <x:row r="14">
      <x:c r="A14" s="30" t="str">
        <x:v>TC-AUTH-010</x:v>
      </x:c>
      <x:c r="B14" s="30" t="str">
        <x:v>TS-AUTH-010</x:v>
      </x:c>
      <x:c r="C14" s="30" t="str">
        <x:v>Authentication</x:v>
      </x:c>
      <x:c r="D14" s="30" t="str">
        <x:v>User is currently authenticated and inside the application.</x:v>
      </x:c>
      <x:c r="E14" s="30" t="str">
        <x:v>1. Open the logout action/menu.
2. Tap Logout.
3. Confirm if confirmation is shown.
4. Observe the resulting session/page.</x:v>
      </x:c>
      <x:c r="F14" s="30" t="str">
        <x:v>N/A</x:v>
      </x:c>
      <x:c r="G14" s="30" t="str">
        <x:v>The session is ended and the user returns to the login screen; protected pages are no longer accessible.</x:v>
      </x:c>
      <x:c r="H14" s="30" t="str">
        <x:v>Observed behavior matched the expected result: The session is ended and the user returns to the login screen; protected pages are no longer accessible.</x:v>
      </x:c>
      <x:c r="I14" s="30" t="str">
        <x:v>Pass</x:v>
      </x:c>
      <x:c r="J14" s="30" t="str">
        <x:v>Functional</x:v>
      </x:c>
      <x:c r="K14" s="30" t="str">
        <x:v>High</x:v>
      </x:c>
      <x:c r="L14" s="30" t="str">
        <x:v>06-Evidence/Authentication/TC-AUTH-010.png</x:v>
      </x:c>
      <x:c r="M14" s="30" t="str">
        <x:v>Formally re-executed on 2026-09-03; screenshot evidence captured. Final result: PASS.</x:v>
      </x:c>
    </x:row>
    <x:row r="15">
      <x:c r="A15" s="30" t="str">
        <x:v>TC-DASH-001</x:v>
      </x:c>
      <x:c r="B15" s="30" t="str">
        <x:v>TS-DASH-001</x:v>
      </x:c>
      <x:c r="C15" s="30" t="str">
        <x:v>Dashboard</x:v>
      </x:c>
      <x:c r="D15" s="30" t="str">
        <x:v>User is authenticated and has permission to access the dashboard.</x:v>
      </x:c>
      <x:c r="E15" s="30" t="str">
        <x:v>1. Login with a valid account.
2. Wait for dashboard navigation.
3. Observe the dashboard page.</x:v>
      </x:c>
      <x:c r="F15" s="30" t="str">
        <x:v>N/A</x:v>
      </x:c>
      <x:c r="G15" s="30" t="str">
        <x:v>Dashboard loads successfully without error.</x:v>
      </x:c>
      <x:c r="H15" s="30" t="str">
        <x:v>Observed behavior matched the expected result: Dashboard loads successfully without error.</x:v>
      </x:c>
      <x:c r="I15" s="30" t="str">
        <x:v>Pass</x:v>
      </x:c>
      <x:c r="J15" s="30" t="str">
        <x:v>Functional</x:v>
      </x:c>
      <x:c r="K15" s="30" t="str">
        <x:v>Critical</x:v>
      </x:c>
      <x:c r="L15" s="30" t="str">
        <x:v>06-Evidence/Dashboard/TC-DASH-001.png</x:v>
      </x:c>
      <x:c r="M15" s="30" t="str">
        <x:v>Formally re-executed on 2026-09-03; screenshot evidence captured. Final result: PASS.</x:v>
      </x:c>
    </x:row>
    <x:row r="16">
      <x:c r="A16" s="30" t="str">
        <x:v>TC-DASH-002</x:v>
      </x:c>
      <x:c r="B16" s="30" t="str">
        <x:v>TS-DASH-002</x:v>
      </x:c>
      <x:c r="C16" s="30" t="str">
        <x:v>Dashboard</x:v>
      </x:c>
      <x:c r="D16" s="30" t="str">
        <x:v>User is authenticated and has permission to access the dashboard.</x:v>
      </x:c>
      <x:c r="E16" s="30" t="str">
        <x:v>1. Open Dashboard.
2. Observe each displayed information card/summary.
3. Compare the values with the available application data.</x:v>
      </x:c>
      <x:c r="F16" s="30" t="str">
        <x:v>Existing inventory/test data</x:v>
      </x:c>
      <x:c r="G16" s="30" t="str">
        <x:v>Dashboard information is displayed and matches the underlying application data.</x:v>
      </x:c>
      <x:c r="H16" s="30" t="str">
        <x:v>Observed behavior matched the expected result: Dashboard information is displayed and matches the underlying application data.</x:v>
      </x:c>
      <x:c r="I16" s="30" t="str">
        <x:v>Pass</x:v>
      </x:c>
      <x:c r="J16" s="30" t="str">
        <x:v>Functional</x:v>
      </x:c>
      <x:c r="K16" s="30" t="str">
        <x:v>High</x:v>
      </x:c>
      <x:c r="L16" s="30" t="str">
        <x:v>06-Evidence/Dashboard/TC-DASH-002.png</x:v>
      </x:c>
      <x:c r="M16" s="30" t="str">
        <x:v>Formally re-executed on 2026-09-03; screenshot evidence captured. Final result: PASS.</x:v>
      </x:c>
    </x:row>
    <x:row r="17">
      <x:c r="A17" s="30" t="str">
        <x:v>TC-DASH-003</x:v>
      </x:c>
      <x:c r="B17" s="30" t="str">
        <x:v>TS-DASH-003</x:v>
      </x:c>
      <x:c r="C17" s="30" t="str">
        <x:v>Dashboard</x:v>
      </x:c>
      <x:c r="D17" s="30" t="str">
        <x:v>User is authenticated and has permission to access the dashboard.</x:v>
      </x:c>
      <x:c r="E17" s="30" t="str">
        <x:v>1. Open Dashboard.
2. Select each available module/navigation entry.
3. Verify the destination page.
4. Return to Dashboard and repeat.</x:v>
      </x:c>
      <x:c r="F17" s="30" t="str">
        <x:v>N/A</x:v>
      </x:c>
      <x:c r="G17" s="30" t="str">
        <x:v>Each navigation entry opens the intended module and returns normally.</x:v>
      </x:c>
      <x:c r="H17" s="30" t="str">
        <x:v>Observed behavior matched the expected result: Each navigation entry opens the intended module and returns normally.</x:v>
      </x:c>
      <x:c r="I17" s="30" t="str">
        <x:v>Pass</x:v>
      </x:c>
      <x:c r="J17" s="30" t="str">
        <x:v>Functional</x:v>
      </x:c>
      <x:c r="K17" s="30" t="str">
        <x:v>High</x:v>
      </x:c>
      <x:c r="L17" s="30" t="str">
        <x:v>06-Evidence/Dashboard/TC-DASH-003.png</x:v>
      </x:c>
      <x:c r="M17" s="30" t="str">
        <x:v>Formally re-executed on 2026-09-03; screenshot evidence captured. Final result: PASS.</x:v>
      </x:c>
    </x:row>
    <x:row r="18">
      <x:c r="A18" s="30" t="str">
        <x:v>TC-DASH-004</x:v>
      </x:c>
      <x:c r="B18" s="30" t="str">
        <x:v>TS-DASH-004</x:v>
      </x:c>
      <x:c r="C18" s="30" t="str">
        <x:v>Dashboard</x:v>
      </x:c>
      <x:c r="D18" s="30" t="str">
        <x:v>User is authenticated and has permission to access the dashboard.</x:v>
      </x:c>
      <x:c r="E18" s="30" t="str">
        <x:v>1. Record current dashboard inventory values.
2. Perform a valid inventory transaction/update.
3. Return to or refresh Dashboard.
4. Compare displayed values.</x:v>
      </x:c>
      <x:c r="F18" s="30" t="str">
        <x:v>Inventory data before and after a known transaction/update</x:v>
      </x:c>
      <x:c r="G18" s="30" t="str">
        <x:v>Dashboard reflects the latest inventory data after the update.</x:v>
      </x:c>
      <x:c r="H18" s="30" t="str">
        <x:v>Observed behavior matched the expected result: Dashboard reflects the latest inventory data after the update.</x:v>
      </x:c>
      <x:c r="I18" s="30" t="str">
        <x:v>Pass</x:v>
      </x:c>
      <x:c r="J18" s="30" t="str">
        <x:v>Functional</x:v>
      </x:c>
      <x:c r="K18" s="30" t="str">
        <x:v>High</x:v>
      </x:c>
      <x:c r="L18" s="30" t="str">
        <x:v>06-Evidence/Dashboard/TC-DASH-004.png</x:v>
      </x:c>
      <x:c r="M18" s="30" t="str">
        <x:v>Formally re-executed on 2026-09-03; screenshot evidence captured. Final result: PASS.</x:v>
      </x:c>
    </x:row>
    <x:row r="19">
      <x:c r="A19" s="30" t="str">
        <x:v>TC-DASH-005</x:v>
      </x:c>
      <x:c r="B19" s="30" t="str">
        <x:v>TS-DASH-005</x:v>
      </x:c>
      <x:c r="C19" s="30" t="str">
        <x:v>Dashboard</x:v>
      </x:c>
      <x:c r="D19" s="30" t="str">
        <x:v>User is authenticated and has permission to access the dashboard.</x:v>
      </x:c>
      <x:c r="E19" s="30" t="str">
        <x:v>1. Prepare or use an account/environment with no inventory data.
2. Open Dashboard.
3. Observe empty-state behavior.</x:v>
      </x:c>
      <x:c r="F19" s="30" t="str">
        <x:v>Environment/test state with no inventory records</x:v>
      </x:c>
      <x:c r="G19" s="30" t="str">
        <x:v>Dashboard handles empty data gracefully without crash or misleading values.</x:v>
      </x:c>
      <x:c r="H19" s="30" t="str">
        <x:v>Observed behavior matched the expected result: Dashboard handles empty data gracefully without crash or misleading values.</x:v>
      </x:c>
      <x:c r="I19" s="30" t="str">
        <x:v>Pass</x:v>
      </x:c>
      <x:c r="J19" s="30" t="str">
        <x:v>Negative</x:v>
      </x:c>
      <x:c r="K19" s="30" t="str">
        <x:v>Medium</x:v>
      </x:c>
      <x:c r="L19" s="30" t="str">
        <x:v>06-Evidence/Dashboard/TC-DASH-005.png</x:v>
      </x:c>
      <x:c r="M19" s="30" t="str">
        <x:v>Formally re-executed on 2026-09-03; screenshot evidence captured. Final result: PASS.</x:v>
      </x:c>
    </x:row>
    <x:row r="20">
      <x:c r="A20" s="30" t="str">
        <x:v>TC-PROD-001</x:v>
      </x:c>
      <x:c r="B20" s="30" t="str">
        <x:v>TS-PROD-001</x:v>
      </x:c>
      <x:c r="C20" s="30" t="str">
        <x:v>Product Management</x:v>
      </x:c>
      <x:c r="D20" s="30" t="str">
        <x:v>User is authenticated and has access to Product Management.</x:v>
      </x:c>
      <x:c r="E20" s="30" t="str">
        <x:v>1. Open Product Management.
2. Wait for the product list to load.
3. Observe displayed records.</x:v>
      </x:c>
      <x:c r="F20" s="30" t="str">
        <x:v>N/A</x:v>
      </x:c>
      <x:c r="G20" s="30" t="str">
        <x:v>The product list is displayed successfully and available records are readable.</x:v>
      </x:c>
      <x:c r="H20" s="30" t="str">
        <x:v>Observed behavior matched the expected result: The product list is displayed successfully and available records are readable.</x:v>
      </x:c>
      <x:c r="I20" s="30" t="str">
        <x:v>Pass</x:v>
      </x:c>
      <x:c r="J20" s="30" t="str">
        <x:v>Functional</x:v>
      </x:c>
      <x:c r="K20" s="30" t="str">
        <x:v>Critical</x:v>
      </x:c>
      <x:c r="L20" s="30" t="str">
        <x:v>06-Evidence/Product-Management/TC-PROD-001.png</x:v>
      </x:c>
      <x:c r="M20" s="30" t="str">
        <x:v>Formally re-executed on 2026-09-03; screenshot evidence captured. Final result: PASS.</x:v>
      </x:c>
    </x:row>
    <x:row r="21">
      <x:c r="A21" s="30" t="str">
        <x:v>TC-PROD-002</x:v>
      </x:c>
      <x:c r="B21" s="30" t="str">
        <x:v>TS-PROD-002</x:v>
      </x:c>
      <x:c r="C21" s="30" t="str">
        <x:v>Product Management</x:v>
      </x:c>
      <x:c r="D21" s="30" t="str">
        <x:v>User is authenticated and has access to Product Management.</x:v>
      </x:c>
      <x:c r="E21" s="30" t="str">
        <x:v>1. Open Product Management.
2. Choose Add Product.
3. Fill all required fields with valid values.
4. Save the product.
5. Return to/list products.</x:v>
      </x:c>
      <x:c r="F21" s="30" t="str">
        <x:v>Valid product data using all required fields</x:v>
      </x:c>
      <x:c r="G21" s="30" t="str">
        <x:v>The product is saved successfully and appears in the product list with the entered information.</x:v>
      </x:c>
      <x:c r="H21" s="30" t="str">
        <x:v>Observed behavior matched the expected result: The product is saved successfully and appears in the product list with the entered information.</x:v>
      </x:c>
      <x:c r="I21" s="30" t="str">
        <x:v>Pass</x:v>
      </x:c>
      <x:c r="J21" s="30" t="str">
        <x:v>Positive</x:v>
      </x:c>
      <x:c r="K21" s="30" t="str">
        <x:v>Critical</x:v>
      </x:c>
      <x:c r="L21" s="30" t="str">
        <x:v>06-Evidence/Product-Management/TC-PROD-002.png</x:v>
      </x:c>
      <x:c r="M21" s="30" t="str">
        <x:v>Formally re-executed on 2026-09-03; screenshot evidence captured. Final result: PASS.</x:v>
      </x:c>
    </x:row>
    <x:row r="22">
      <x:c r="A22" s="30" t="str">
        <x:v>TC-PROD-003</x:v>
      </x:c>
      <x:c r="B22" s="30" t="str">
        <x:v>TS-PROD-003</x:v>
      </x:c>
      <x:c r="C22" s="30" t="str">
        <x:v>Product Management</x:v>
      </x:c>
      <x:c r="D22" s="30" t="str">
        <x:v>User is authenticated and has access to Product Management.</x:v>
      </x:c>
      <x:c r="E22" s="30" t="str">
        <x:v>1. Choose Add Product.
2. Leave required field(s) blank.
3. Attempt to save.</x:v>
      </x:c>
      <x:c r="F22" s="30" t="str">
        <x:v>One or more required product fields left blank</x:v>
      </x:c>
      <x:c r="G22" s="30" t="str">
        <x:v>The application blocks invalid submission and provides required-field validation.</x:v>
      </x:c>
      <x:c r="H22" s="30" t="str">
        <x:v>Observed behavior matched the expected result: The application blocks invalid submission and provides required-field validation.</x:v>
      </x:c>
      <x:c r="I22" s="30" t="str">
        <x:v>Pass</x:v>
      </x:c>
      <x:c r="J22" s="30" t="str">
        <x:v>Validation</x:v>
      </x:c>
      <x:c r="K22" s="30" t="str">
        <x:v>High</x:v>
      </x:c>
      <x:c r="L22" s="30" t="str">
        <x:v>06-Evidence/Product-Management/TC-PROD-003.png</x:v>
      </x:c>
      <x:c r="M22" s="30" t="str">
        <x:v>Formally re-executed on 2026-09-03; screenshot evidence captured. Final result: PASS.</x:v>
      </x:c>
    </x:row>
    <x:row r="23">
      <x:c r="A23" s="30" t="str">
        <x:v>TC-PROD-004</x:v>
      </x:c>
      <x:c r="B23" s="30" t="str">
        <x:v>TS-PROD-004</x:v>
      </x:c>
      <x:c r="C23" s="30" t="str">
        <x:v>Product Management</x:v>
      </x:c>
      <x:c r="D23" s="30" t="str">
        <x:v>User is authenticated and has access to Product Management.</x:v>
      </x:c>
      <x:c r="E23" s="30" t="str">
        <x:v>1. Open Add/Edit Product.
2. Enter an invalid value in a constrained field.
3. Attempt to save.
4. Observe validation.</x:v>
      </x:c>
      <x:c r="F23" s="30" t="str">
        <x:v>Invalid value for a field that has format/range constraints</x:v>
      </x:c>
      <x:c r="G23" s="30" t="str">
        <x:v>Invalid product data is rejected or safely handled; no invalid record is saved.</x:v>
      </x:c>
      <x:c r="H23" s="30" t="str">
        <x:v>Observed behavior matched the expected result: Invalid product data is rejected or safely handled; no invalid record is saved.</x:v>
      </x:c>
      <x:c r="I23" s="30" t="str">
        <x:v>Pass</x:v>
      </x:c>
      <x:c r="J23" s="30" t="str">
        <x:v>Negative</x:v>
      </x:c>
      <x:c r="K23" s="30" t="str">
        <x:v>High</x:v>
      </x:c>
      <x:c r="L23" s="30" t="str">
        <x:v>06-Evidence/Product-Management/TC-PROD-004.png</x:v>
      </x:c>
      <x:c r="M23" s="30" t="str">
        <x:v>Formally re-executed on 2026-09-03; screenshot evidence captured. Final result: PASS.</x:v>
      </x:c>
    </x:row>
    <x:row r="24">
      <x:c r="A24" s="30" t="str">
        <x:v>TC-PROD-005</x:v>
      </x:c>
      <x:c r="B24" s="30" t="str">
        <x:v>TS-PROD-005</x:v>
      </x:c>
      <x:c r="C24" s="30" t="str">
        <x:v>Product Management</x:v>
      </x:c>
      <x:c r="D24" s="30" t="str">
        <x:v>User is authenticated and has access to Product Management.</x:v>
      </x:c>
      <x:c r="E24" s="30" t="str">
        <x:v>1. Open an existing product.
2. Choose Edit.
3. Change one or more editable fields.
4. Save changes.</x:v>
      </x:c>
      <x:c r="F24" s="30" t="str">
        <x:v>Existing product; new valid field value</x:v>
      </x:c>
      <x:c r="G24" s="30" t="str">
        <x:v>The edit operation completes successfully.</x:v>
      </x:c>
      <x:c r="H24" s="30" t="str">
        <x:v>Observed behavior matched the expected result: The edit operation completes successfully.</x:v>
      </x:c>
      <x:c r="I24" s="30" t="str">
        <x:v>Pass</x:v>
      </x:c>
      <x:c r="J24" s="30" t="str">
        <x:v>Functional</x:v>
      </x:c>
      <x:c r="K24" s="30" t="str">
        <x:v>High</x:v>
      </x:c>
      <x:c r="L24" s="30" t="str">
        <x:v>06-Evidence/Product-Management/TC-PROD-005.png</x:v>
      </x:c>
      <x:c r="M24" s="30" t="str">
        <x:v>Formally re-executed on 2026-09-03; screenshot evidence captured. Final result: PASS.</x:v>
      </x:c>
    </x:row>
    <x:row r="25">
      <x:c r="A25" s="30" t="str">
        <x:v>TC-PROD-006</x:v>
      </x:c>
      <x:c r="B25" s="30" t="str">
        <x:v>TS-PROD-006</x:v>
      </x:c>
      <x:c r="C25" s="30" t="str">
        <x:v>Product Management</x:v>
      </x:c>
      <x:c r="D25" s="30" t="str">
        <x:v>User is authenticated and has access to Product Management.</x:v>
      </x:c>
      <x:c r="E25" s="30" t="str">
        <x:v>1. Edit an existing product with known values.
2. Save.
3. Reopen the product/list.
4. Compare displayed data to the edited values.</x:v>
      </x:c>
      <x:c r="F25" s="30" t="str">
        <x:v>Existing product with edited values</x:v>
      </x:c>
      <x:c r="G25" s="30" t="str">
        <x:v>Saved product information matches the new values after reopening/reload.</x:v>
      </x:c>
      <x:c r="H25" s="30" t="str">
        <x:v>Observed behavior matched the expected result: Saved product information matches the new values after reopening/reload.</x:v>
      </x:c>
      <x:c r="I25" s="30" t="str">
        <x:v>Pass</x:v>
      </x:c>
      <x:c r="J25" s="30" t="str">
        <x:v>Functional</x:v>
      </x:c>
      <x:c r="K25" s="30" t="str">
        <x:v>High</x:v>
      </x:c>
      <x:c r="L25" s="30" t="str">
        <x:v>06-Evidence/Product-Management/TC-PROD-006.png</x:v>
      </x:c>
      <x:c r="M25" s="30" t="str">
        <x:v>Formally re-executed on 2026-09-03; screenshot evidence captured. Final result: PASS.</x:v>
      </x:c>
    </x:row>
    <x:row r="26">
      <x:c r="A26" s="30" t="str">
        <x:v>TC-PROD-007</x:v>
      </x:c>
      <x:c r="B26" s="30" t="str">
        <x:v>TS-PROD-007</x:v>
      </x:c>
      <x:c r="C26" s="30" t="str">
        <x:v>Product Management</x:v>
      </x:c>
      <x:c r="D26" s="30" t="str">
        <x:v>User is authenticated and has access to Product Management.</x:v>
      </x:c>
      <x:c r="E26" s="30" t="str">
        <x:v>1. Locate the test product.
2. Choose Delete.
3. Confirm deletion if prompted.
4. Search/list the product again.</x:v>
      </x:c>
      <x:c r="F26" s="30" t="str">
        <x:v>A product record prepared for deletion</x:v>
      </x:c>
      <x:c r="G26" s="30" t="str">
        <x:v>Deletion follows the intended application behavior and the removed product is no longer available where applicable.</x:v>
      </x:c>
      <x:c r="H26" s="30" t="str">
        <x:v>Observed behavior matched the expected result: Deletion follows the intended application behavior and the removed product is no longer available where applicable.</x:v>
      </x:c>
      <x:c r="I26" s="30" t="str">
        <x:v>Pass</x:v>
      </x:c>
      <x:c r="J26" s="30" t="str">
        <x:v>Functional</x:v>
      </x:c>
      <x:c r="K26" s="30" t="str">
        <x:v>High</x:v>
      </x:c>
      <x:c r="L26" s="30" t="str">
        <x:v>06-Evidence/Product-Management/TC-PROD-007.png</x:v>
      </x:c>
      <x:c r="M26" s="30" t="str">
        <x:v>Formally re-executed on 2026-09-03; screenshot evidence captured. Final result: PASS.</x:v>
      </x:c>
    </x:row>
    <x:row r="27">
      <x:c r="A27" s="30" t="str">
        <x:v>TC-PROD-008</x:v>
      </x:c>
      <x:c r="B27" s="30" t="str">
        <x:v>TS-PROD-008</x:v>
      </x:c>
      <x:c r="C27" s="30" t="str">
        <x:v>Product Management</x:v>
      </x:c>
      <x:c r="D27" s="30" t="str">
        <x:v>User is authenticated and has access to Product Management.</x:v>
      </x:c>
      <x:c r="E27" s="30" t="str">
        <x:v>1. Open Product Management.
2. Enter a keyword belonging to an existing product in search.
3. Observe search results.</x:v>
      </x:c>
      <x:c r="F27" s="30" t="str">
        <x:v>Keyword matching an existing product</x:v>
      </x:c>
      <x:c r="G27" s="30" t="str">
        <x:v>Matching product(s) are returned.</x:v>
      </x:c>
      <x:c r="H27" s="30" t="str">
        <x:v>Observed behavior matched the expected result: Matching product(s) are returned.</x:v>
      </x:c>
      <x:c r="I27" s="30" t="str">
        <x:v>Pass</x:v>
      </x:c>
      <x:c r="J27" s="30" t="str">
        <x:v>Positive</x:v>
      </x:c>
      <x:c r="K27" s="30" t="str">
        <x:v>Medium</x:v>
      </x:c>
      <x:c r="L27" s="30" t="str">
        <x:v>06-Evidence/Product-Management/TC-PROD-008.png</x:v>
      </x:c>
      <x:c r="M27" s="30" t="str">
        <x:v>Formally re-executed on 2026-09-03; screenshot evidence captured. Final result: PASS.</x:v>
      </x:c>
    </x:row>
    <x:row r="28">
      <x:c r="A28" s="30" t="str">
        <x:v>TC-PROD-009</x:v>
      </x:c>
      <x:c r="B28" s="30" t="str">
        <x:v>TS-PROD-009</x:v>
      </x:c>
      <x:c r="C28" s="30" t="str">
        <x:v>Product Management</x:v>
      </x:c>
      <x:c r="D28" s="30" t="str">
        <x:v>User is authenticated and has access to Product Management.</x:v>
      </x:c>
      <x:c r="E28" s="30" t="str">
        <x:v>1. Open Product Management.
2. Enter a nonexistent keyword.
3. Observe results/empty state.</x:v>
      </x:c>
      <x:c r="F28" s="30" t="str">
        <x:v>Keyword that matches no product</x:v>
      </x:c>
      <x:c r="G28" s="30" t="str">
        <x:v>No unrelated product is returned and an appropriate empty state is shown.</x:v>
      </x:c>
      <x:c r="H28" s="30" t="str">
        <x:v>Observed behavior matched the expected result: No unrelated product is returned and an appropriate empty state is shown.</x:v>
      </x:c>
      <x:c r="I28" s="30" t="str">
        <x:v>Pass</x:v>
      </x:c>
      <x:c r="J28" s="30" t="str">
        <x:v>Negative</x:v>
      </x:c>
      <x:c r="K28" s="30" t="str">
        <x:v>Medium</x:v>
      </x:c>
      <x:c r="L28" s="30" t="str">
        <x:v>06-Evidence/Product-Management/TC-PROD-009.png</x:v>
      </x:c>
      <x:c r="M28" s="30" t="str">
        <x:v>Formally re-executed on 2026-09-03; screenshot evidence captured. Final result: PASS.</x:v>
      </x:c>
    </x:row>
    <x:row r="29">
      <x:c r="A29" s="30" t="str">
        <x:v>TC-PROD-010</x:v>
      </x:c>
      <x:c r="B29" s="30" t="str">
        <x:v>TS-PROD-010</x:v>
      </x:c>
      <x:c r="C29" s="30" t="str">
        <x:v>Product Management</x:v>
      </x:c>
      <x:c r="D29" s="30" t="str">
        <x:v>User is authenticated and has access to Product Management.</x:v>
      </x:c>
      <x:c r="E29" s="30" t="str">
        <x:v>1. Record a product's displayed information.
2. Refresh/reload or leave and reopen Product Management.
3. Locate the same product.
4. Compare values.</x:v>
      </x:c>
      <x:c r="F29" s="30" t="str">
        <x:v>Existing product</x:v>
      </x:c>
      <x:c r="G29" s="30" t="str">
        <x:v>Product information remains consistent after reload.</x:v>
      </x:c>
      <x:c r="H29" s="30" t="str">
        <x:v>Observed behavior matched the expected result: Product information remains consistent after reload.</x:v>
      </x:c>
      <x:c r="I29" s="30" t="str">
        <x:v>Pass</x:v>
      </x:c>
      <x:c r="J29" s="30" t="str">
        <x:v>Functional</x:v>
      </x:c>
      <x:c r="K29" s="30" t="str">
        <x:v>High</x:v>
      </x:c>
      <x:c r="L29" s="30" t="str">
        <x:v>06-Evidence/Product-Management/TC-PROD-010.png</x:v>
      </x:c>
      <x:c r="M29" s="30" t="str">
        <x:v>Formally re-executed on 2026-09-03; screenshot evidence captured. Final result: PASS.</x:v>
      </x:c>
    </x:row>
    <x:row r="30">
      <x:c r="A30" s="30" t="str">
        <x:v>TC-IN-001</x:v>
      </x:c>
      <x:c r="B30" s="30" t="str">
        <x:v>TS-IN-001</x:v>
      </x:c>
      <x:c r="C30" s="30" t="str">
        <x:v>Stock In</x:v>
      </x:c>
      <x:c r="D30" s="30" t="str">
        <x:v>User is authenticated; at least one valid product exists and Stock In module is accessible.</x:v>
      </x:c>
      <x:c r="E30" s="30" t="str">
        <x:v>1. Open Stock In.
2. Select an existing product.
3. Enter valid stock-in data.
4. Submit/save the transaction.</x:v>
      </x:c>
      <x:c r="F30" s="30" t="str">
        <x:v>Existing product; valid quantity; valid required transaction/batch data</x:v>
      </x:c>
      <x:c r="G30" s="30" t="str">
        <x:v>A stock-in transaction is successfully created.</x:v>
      </x:c>
      <x:c r="H30" s="30" t="str">
        <x:v>Observed behavior matched the expected result: A stock-in transaction is successfully created.</x:v>
      </x:c>
      <x:c r="I30" s="30" t="str">
        <x:v>Pass</x:v>
      </x:c>
      <x:c r="J30" s="30" t="str">
        <x:v>Positive</x:v>
      </x:c>
      <x:c r="K30" s="30" t="str">
        <x:v>Critical</x:v>
      </x:c>
      <x:c r="L30" s="30" t="str">
        <x:v>06-Evidence/Stock-In/TC-IN-001.png</x:v>
      </x:c>
      <x:c r="M30" s="30" t="str">
        <x:v>Formally re-executed on 2026-09-03; screenshot evidence captured. Final result: PASS.</x:v>
      </x:c>
    </x:row>
    <x:row r="31">
      <x:c r="A31" s="30" t="str">
        <x:v>TC-IN-002</x:v>
      </x:c>
      <x:c r="B31" s="30" t="str">
        <x:v>TS-IN-002</x:v>
      </x:c>
      <x:c r="C31" s="30" t="str">
        <x:v>Stock In</x:v>
      </x:c>
      <x:c r="D31" s="30" t="str">
        <x:v>User is authenticated; at least one valid product exists and Stock In module is accessible.</x:v>
      </x:c>
      <x:c r="E31" s="30" t="str">
        <x:v>1. Open Stock In.
2. Leave one or more required fields empty.
3. Attempt to submit.</x:v>
      </x:c>
      <x:c r="F31" s="30" t="str">
        <x:v>Required Stock In field(s) left blank</x:v>
      </x:c>
      <x:c r="G31" s="30" t="str">
        <x:v>Submission is blocked and required-field validation is shown.</x:v>
      </x:c>
      <x:c r="H31" s="30" t="str">
        <x:v>Observed behavior matched the expected result: Submission is blocked and required-field validation is shown.</x:v>
      </x:c>
      <x:c r="I31" s="30" t="str">
        <x:v>Pass</x:v>
      </x:c>
      <x:c r="J31" s="30" t="str">
        <x:v>Validation</x:v>
      </x:c>
      <x:c r="K31" s="30" t="str">
        <x:v>High</x:v>
      </x:c>
      <x:c r="L31" s="30" t="str">
        <x:v>06-Evidence/Stock-In/TC-IN-002.png</x:v>
      </x:c>
      <x:c r="M31" s="30" t="str">
        <x:v>Formally re-executed on 2026-09-03; screenshot evidence captured. Final result: PASS.</x:v>
      </x:c>
    </x:row>
    <x:row r="32">
      <x:c r="A32" s="30" t="str">
        <x:v>TC-IN-003</x:v>
      </x:c>
      <x:c r="B32" s="30" t="str">
        <x:v>TS-IN-003</x:v>
      </x:c>
      <x:c r="C32" s="30" t="str">
        <x:v>Stock In</x:v>
      </x:c>
      <x:c r="D32" s="30" t="str">
        <x:v>User is authenticated; at least one valid product exists and Stock In module is accessible.</x:v>
      </x:c>
      <x:c r="E32" s="30" t="str">
        <x:v>1. Open Stock In.
2. Select a product.
3. Enter an invalid quantity.
4. Attempt to save.</x:v>
      </x:c>
      <x:c r="F32" s="30" t="str">
        <x:v>Invalid quantity such as negative/non-numeric where not allowed</x:v>
      </x:c>
      <x:c r="G32" s="30" t="str">
        <x:v>Invalid quantity is rejected and no invalid stock-in transaction is created.</x:v>
      </x:c>
      <x:c r="H32" s="30" t="str">
        <x:v>Observed behavior matched the expected result: Invalid quantity is rejected and no invalid stock-in transaction is created.</x:v>
      </x:c>
      <x:c r="I32" s="30" t="str">
        <x:v>Pass</x:v>
      </x:c>
      <x:c r="J32" s="30" t="str">
        <x:v>Negative</x:v>
      </x:c>
      <x:c r="K32" s="30" t="str">
        <x:v>High</x:v>
      </x:c>
      <x:c r="L32" s="30" t="str">
        <x:v>06-Evidence/Stock-In/TC-IN-003.png</x:v>
      </x:c>
      <x:c r="M32" s="30" t="str">
        <x:v>Formally re-executed on 2026-09-03; screenshot evidence captured. Final result: PASS.</x:v>
      </x:c>
    </x:row>
    <x:row r="33">
      <x:c r="A33" s="30" t="str">
        <x:v>TC-IN-004</x:v>
      </x:c>
      <x:c r="B33" s="30" t="str">
        <x:v>TS-IN-004</x:v>
      </x:c>
      <x:c r="C33" s="30" t="str">
        <x:v>Stock In</x:v>
      </x:c>
      <x:c r="D33" s="30" t="str">
        <x:v>User is authenticated; at least one valid product exists and Stock In module is accessible.</x:v>
      </x:c>
      <x:c r="E33" s="30" t="str">
        <x:v>1. Record current product stock.
2. Create a valid stock-in transaction with quantity Q.
3. Open product/inventory data.
4. Compare new stock.</x:v>
      </x:c>
      <x:c r="F33" s="30" t="str">
        <x:v>Known initial stock; stock-in quantity Q</x:v>
      </x:c>
      <x:c r="G33" s="30" t="str">
        <x:v>New stock equals previous stock plus the valid stock-in quantity.</x:v>
      </x:c>
      <x:c r="H33" s="30" t="str">
        <x:v>Observed behavior matched the expected result: New stock equals previous stock plus the valid stock-in quantity.</x:v>
      </x:c>
      <x:c r="I33" s="30" t="str">
        <x:v>Pass</x:v>
      </x:c>
      <x:c r="J33" s="30" t="str">
        <x:v>Functional</x:v>
      </x:c>
      <x:c r="K33" s="30" t="str">
        <x:v>Critical</x:v>
      </x:c>
      <x:c r="L33" s="30" t="str">
        <x:v>06-Evidence/Stock-In/TC-IN-004.png</x:v>
      </x:c>
      <x:c r="M33" s="30" t="str">
        <x:v>Formally re-executed on 2026-09-03; screenshot evidence captured. Final result: PASS.</x:v>
      </x:c>
    </x:row>
    <x:row r="34">
      <x:c r="A34" s="30" t="str">
        <x:v>TC-IN-005</x:v>
      </x:c>
      <x:c r="B34" s="30" t="str">
        <x:v>TS-IN-005</x:v>
      </x:c>
      <x:c r="C34" s="30" t="str">
        <x:v>Stock In</x:v>
      </x:c>
      <x:c r="D34" s="30" t="str">
        <x:v>User is authenticated; at least one valid product exists and Stock In module is accessible.</x:v>
      </x:c>
      <x:c r="E34" s="30" t="str">
        <x:v>1. Create a valid stock-in transaction.
2. Open Transaction History.
3. Locate the newly created transaction.
4. Compare key details.</x:v>
      </x:c>
      <x:c r="F34" s="30" t="str">
        <x:v>Valid stock-in transaction</x:v>
      </x:c>
      <x:c r="G34" s="30" t="str">
        <x:v>The stock-in transaction appears in history with consistent information.</x:v>
      </x:c>
      <x:c r="H34" s="30" t="str">
        <x:v>Observed behavior matched the expected result: The stock-in transaction appears in history with consistent information.</x:v>
      </x:c>
      <x:c r="I34" s="30" t="str">
        <x:v>Pass</x:v>
      </x:c>
      <x:c r="J34" s="30" t="str">
        <x:v>Functional</x:v>
      </x:c>
      <x:c r="K34" s="30" t="str">
        <x:v>Critical</x:v>
      </x:c>
      <x:c r="L34" s="30" t="str">
        <x:v>06-Evidence/Stock-In/TC-IN-005.png</x:v>
      </x:c>
      <x:c r="M34" s="30" t="str">
        <x:v>Formally re-executed on 2026-09-03; screenshot evidence captured. Final result: PASS.</x:v>
      </x:c>
    </x:row>
    <x:row r="35">
      <x:c r="A35" s="30" t="str">
        <x:v>TC-IN-006</x:v>
      </x:c>
      <x:c r="B35" s="30" t="str">
        <x:v>TS-IN-006</x:v>
      </x:c>
      <x:c r="C35" s="30" t="str">
        <x:v>Stock In</x:v>
      </x:c>
      <x:c r="D35" s="30" t="str">
        <x:v>User is authenticated; at least one valid product exists and Stock In module is accessible.</x:v>
      </x:c>
      <x:c r="E35" s="30" t="str">
        <x:v>1. Create a valid stock-in transaction including required batch information.
2. Open batch list/detail.
3. Locate the related batch.
4. Compare batch data.</x:v>
      </x:c>
      <x:c r="F35" s="30" t="str">
        <x:v>Valid stock-in data that creates/updates a batch</x:v>
      </x:c>
      <x:c r="G35" s="30" t="str">
        <x:v>Related batch information is stored and displayed correctly.</x:v>
      </x:c>
      <x:c r="H35" s="30" t="str">
        <x:v>Observed behavior matched the expected result: Related batch information is stored and displayed correctly.</x:v>
      </x:c>
      <x:c r="I35" s="30" t="str">
        <x:v>Pass</x:v>
      </x:c>
      <x:c r="J35" s="30" t="str">
        <x:v>Functional</x:v>
      </x:c>
      <x:c r="K35" s="30" t="str">
        <x:v>Critical</x:v>
      </x:c>
      <x:c r="L35" s="30" t="str">
        <x:v>06-Evidence/Stock-In/TC-IN-006.png</x:v>
      </x:c>
      <x:c r="M35" s="30" t="str">
        <x:v>Formally re-executed on 2026-09-03; screenshot evidence captured. Final result: PASS.</x:v>
      </x:c>
    </x:row>
    <x:row r="36">
      <x:c r="A36" s="30" t="str">
        <x:v>TC-IN-007</x:v>
      </x:c>
      <x:c r="B36" s="30" t="str">
        <x:v>TS-IN-007</x:v>
      </x:c>
      <x:c r="C36" s="30" t="str">
        <x:v>Stock In</x:v>
      </x:c>
      <x:c r="D36" s="30" t="str">
        <x:v>User is authenticated; at least one valid product exists and Stock In module is accessible.</x:v>
      </x:c>
      <x:c r="E36" s="30" t="str">
        <x:v>1. Record initial stock.
2. Submit multiple valid stock-in transactions.
3. Open the resulting inventory/product.
4. Calculate and compare expected total.</x:v>
      </x:c>
      <x:c r="F36" s="30" t="str">
        <x:v>Known initial stock; two or more valid stock-in transactions</x:v>
      </x:c>
      <x:c r="G36" s="30" t="str">
        <x:v>Final stock equals initial stock plus the sum of all successful stock-in quantities.</x:v>
      </x:c>
      <x:c r="H36" s="30" t="str">
        <x:v>Observed behavior matched the expected result: Final stock equals initial stock plus the sum of all successful stock-in quantities.</x:v>
      </x:c>
      <x:c r="I36" s="30" t="str">
        <x:v>Pass</x:v>
      </x:c>
      <x:c r="J36" s="30" t="str">
        <x:v>Functional</x:v>
      </x:c>
      <x:c r="K36" s="30" t="str">
        <x:v>High</x:v>
      </x:c>
      <x:c r="L36" s="30" t="str">
        <x:v>06-Evidence/Stock-In/TC-IN-007.png</x:v>
      </x:c>
      <x:c r="M36" s="30" t="str">
        <x:v>Formally re-executed on 2026-09-03; screenshot evidence captured. Final result: PASS.</x:v>
      </x:c>
    </x:row>
    <x:row r="37">
      <x:c r="A37" s="30" t="str">
        <x:v>TC-IN-008</x:v>
      </x:c>
      <x:c r="B37" s="30" t="str">
        <x:v>TS-IN-008</x:v>
      </x:c>
      <x:c r="C37" s="30" t="str">
        <x:v>Stock In</x:v>
      </x:c>
      <x:c r="D37" s="30" t="str">
        <x:v>User is authenticated; at least one valid product exists and Stock In module is accessible.</x:v>
      </x:c>
      <x:c r="E37" s="30" t="str">
        <x:v>1. Open Stock In.
2. Select a product.
3. Enter quantity 1 and other required valid data.
4. Submit.</x:v>
      </x:c>
      <x:c r="F37" s="30" t="str">
        <x:v>Quantity = 1 (minimum positive quantity)</x:v>
      </x:c>
      <x:c r="G37" s="30" t="str">
        <x:v>The minimum valid positive quantity is accepted and stock increases by 1.</x:v>
      </x:c>
      <x:c r="H37" s="30" t="str">
        <x:v>Observed behavior matched the expected result: The minimum valid positive quantity is accepted and stock increases by 1.</x:v>
      </x:c>
      <x:c r="I37" s="30" t="str">
        <x:v>Pass</x:v>
      </x:c>
      <x:c r="J37" s="30" t="str">
        <x:v>Boundary</x:v>
      </x:c>
      <x:c r="K37" s="30" t="str">
        <x:v>High</x:v>
      </x:c>
      <x:c r="L37" s="30" t="str">
        <x:v>06-Evidence/Stock-In/TC-IN-008.png</x:v>
      </x:c>
      <x:c r="M37" s="30" t="str">
        <x:v>Formally re-executed on 2026-09-03; screenshot evidence captured. Final result: PASS.</x:v>
      </x:c>
    </x:row>
    <x:row r="38">
      <x:c r="A38" s="30" t="str">
        <x:v>TC-IN-009</x:v>
      </x:c>
      <x:c r="B38" s="30" t="str">
        <x:v>TS-IN-009</x:v>
      </x:c>
      <x:c r="C38" s="30" t="str">
        <x:v>Stock In</x:v>
      </x:c>
      <x:c r="D38" s="30" t="str">
        <x:v>User is authenticated; at least one valid product exists and Stock In module is accessible.</x:v>
      </x:c>
      <x:c r="E38" s="30" t="str">
        <x:v>1. Open Stock In.
2. Select a product.
3. Enter quantity 0.
4. Attempt to submit.</x:v>
      </x:c>
      <x:c r="F38" s="30" t="str">
        <x:v>Quantity = 0</x:v>
      </x:c>
      <x:c r="G38" s="30" t="str">
        <x:v>Zero quantity is rejected or prevented from creating an invalid transaction.</x:v>
      </x:c>
      <x:c r="H38" s="30" t="str">
        <x:v>Observed behavior matched the expected result: Zero quantity is rejected or prevented from creating an invalid transaction.</x:v>
      </x:c>
      <x:c r="I38" s="30" t="str">
        <x:v>Pass</x:v>
      </x:c>
      <x:c r="J38" s="30" t="str">
        <x:v>Boundary/Negative</x:v>
      </x:c>
      <x:c r="K38" s="30" t="str">
        <x:v>High</x:v>
      </x:c>
      <x:c r="L38" s="30" t="str">
        <x:v>06-Evidence/Stock-In/TC-IN-009.png</x:v>
      </x:c>
      <x:c r="M38" s="30" t="str">
        <x:v>Formally re-executed on 2026-09-03; screenshot evidence captured. Final result: PASS.</x:v>
      </x:c>
    </x:row>
    <x:row r="39">
      <x:c r="A39" s="30" t="str">
        <x:v>TC-OUT-001</x:v>
      </x:c>
      <x:c r="B39" s="30" t="str">
        <x:v>TS-OUT-001</x:v>
      </x:c>
      <x:c r="C39" s="30" t="str">
        <x:v>Stock Out</x:v>
      </x:c>
      <x:c r="D39" s="30" t="str">
        <x:v>User is authenticated; at least one product with available stock exists and Stock Out is accessible.</x:v>
      </x:c>
      <x:c r="E39" s="30" t="str">
        <x:v>1. Open Stock Out.
2. Select/scan a product.
3. Enter a valid quantity within available stock.
4. Confirm the transaction.</x:v>
      </x:c>
      <x:c r="F39" s="30" t="str">
        <x:v>Product with sufficient stock; valid stock-out quantity</x:v>
      </x:c>
      <x:c r="G39" s="30" t="str">
        <x:v>A valid stock-out transaction is created successfully.</x:v>
      </x:c>
      <x:c r="H39" s="30" t="str">
        <x:v>Observed behavior matched the expected result: A valid stock-out transaction is created successfully.</x:v>
      </x:c>
      <x:c r="I39" s="30" t="str">
        <x:v>Pass</x:v>
      </x:c>
      <x:c r="J39" s="30" t="str">
        <x:v>Positive</x:v>
      </x:c>
      <x:c r="K39" s="30" t="str">
        <x:v>Critical</x:v>
      </x:c>
      <x:c r="L39" s="30" t="str">
        <x:v>06-Evidence/Stock-Out/TC-OUT-001.png</x:v>
      </x:c>
      <x:c r="M39" s="30" t="str">
        <x:v>Formally re-executed on 2026-09-03; screenshot evidence captured. Final result: PASS.</x:v>
      </x:c>
    </x:row>
    <x:row r="40">
      <x:c r="A40" s="30" t="str">
        <x:v>TC-OUT-002</x:v>
      </x:c>
      <x:c r="B40" s="30" t="str">
        <x:v>TS-OUT-002</x:v>
      </x:c>
      <x:c r="C40" s="30" t="str">
        <x:v>Stock Out</x:v>
      </x:c>
      <x:c r="D40" s="30" t="str">
        <x:v>User is authenticated; at least one product with available stock exists and Stock Out is accessible.</x:v>
      </x:c>
      <x:c r="E40" s="30" t="str">
        <x:v>1. Record current stock S.
2. Create a stock-out transaction for Q.
3. Open inventory/product data.
4. Compare new stock.</x:v>
      </x:c>
      <x:c r="F40" s="30" t="str">
        <x:v>Known initial stock S; valid outgoing quantity Q where Q &lt;= S</x:v>
      </x:c>
      <x:c r="G40" s="30" t="str">
        <x:v>New stock equals S minus Q.</x:v>
      </x:c>
      <x:c r="H40" s="30" t="str">
        <x:v>Observed behavior matched the expected result: New stock equals S minus Q.</x:v>
      </x:c>
      <x:c r="I40" s="30" t="str">
        <x:v>Pass</x:v>
      </x:c>
      <x:c r="J40" s="30" t="str">
        <x:v>Functional</x:v>
      </x:c>
      <x:c r="K40" s="30" t="str">
        <x:v>Critical</x:v>
      </x:c>
      <x:c r="L40" s="30" t="str">
        <x:v>06-Evidence/Stock-Out/TC-OUT-002.png</x:v>
      </x:c>
      <x:c r="M40" s="30" t="str">
        <x:v>Formally re-executed on 2026-09-03; screenshot evidence captured. Final result: PASS.</x:v>
      </x:c>
    </x:row>
    <x:row r="41">
      <x:c r="A41" s="30" t="str">
        <x:v>TC-OUT-003</x:v>
      </x:c>
      <x:c r="B41" s="30" t="str">
        <x:v>TS-OUT-003</x:v>
      </x:c>
      <x:c r="C41" s="30" t="str">
        <x:v>Stock Out</x:v>
      </x:c>
      <x:c r="D41" s="30" t="str">
        <x:v>User is authenticated; at least one product with available stock exists and Stock Out is accessible.</x:v>
      </x:c>
      <x:c r="E41" s="30" t="str">
        <x:v>1. Create a valid stock-out transaction.
2. Open Transaction History.
3. Locate the transaction.
4. Compare transaction details.</x:v>
      </x:c>
      <x:c r="F41" s="30" t="str">
        <x:v>Valid stock-out transaction</x:v>
      </x:c>
      <x:c r="G41" s="30" t="str">
        <x:v>The stock-out transaction appears in history with consistent information.</x:v>
      </x:c>
      <x:c r="H41" s="30" t="str">
        <x:v>Observed behavior matched the expected result: The stock-out transaction appears in history with consistent information.</x:v>
      </x:c>
      <x:c r="I41" s="30" t="str">
        <x:v>Pass</x:v>
      </x:c>
      <x:c r="J41" s="30" t="str">
        <x:v>Functional</x:v>
      </x:c>
      <x:c r="K41" s="30" t="str">
        <x:v>Critical</x:v>
      </x:c>
      <x:c r="L41" s="30" t="str">
        <x:v>06-Evidence/Stock-Out/TC-OUT-003.png</x:v>
      </x:c>
      <x:c r="M41" s="30" t="str">
        <x:v>Formally re-executed on 2026-09-03; screenshot evidence captured. Final result: PASS.</x:v>
      </x:c>
    </x:row>
    <x:row r="42">
      <x:c r="A42" s="30" t="str">
        <x:v>TC-OUT-004</x:v>
      </x:c>
      <x:c r="B42" s="30" t="str">
        <x:v>TS-OUT-004</x:v>
      </x:c>
      <x:c r="C42" s="30" t="str">
        <x:v>Stock Out</x:v>
      </x:c>
      <x:c r="D42" s="30" t="str">
        <x:v>User is authenticated; at least one product with available stock exists and Stock Out is accessible.</x:v>
      </x:c>
      <x:c r="E42" s="30" t="str">
        <x:v>1. Record available stock.
2. Open Stock Out.
3. Enter a quantity greater than available stock.
4. Attempt to confirm.</x:v>
      </x:c>
      <x:c r="F42" s="30" t="str">
        <x:v>Available stock S; requested quantity greater than S</x:v>
      </x:c>
      <x:c r="G42" s="30" t="str">
        <x:v>The transaction is rejected and available stock is not reduced.</x:v>
      </x:c>
      <x:c r="H42" s="30" t="str">
        <x:v>Observed behavior matched the expected result: The transaction is rejected and available stock is not reduced.</x:v>
      </x:c>
      <x:c r="I42" s="30" t="str">
        <x:v>Pass</x:v>
      </x:c>
      <x:c r="J42" s="30" t="str">
        <x:v>Negative</x:v>
      </x:c>
      <x:c r="K42" s="30" t="str">
        <x:v>Critical</x:v>
      </x:c>
      <x:c r="L42" s="30" t="str">
        <x:v>06-Evidence/Stock-Out/TC-OUT-004.png</x:v>
      </x:c>
      <x:c r="M42" s="30" t="str">
        <x:v>Formally re-executed on 2026-09-03; screenshot evidence captured. Final result: PASS.</x:v>
      </x:c>
    </x:row>
    <x:row r="43">
      <x:c r="A43" s="30" t="str">
        <x:v>TC-OUT-005</x:v>
      </x:c>
      <x:c r="B43" s="30" t="str">
        <x:v>TS-OUT-005</x:v>
      </x:c>
      <x:c r="C43" s="30" t="str">
        <x:v>Stock Out</x:v>
      </x:c>
      <x:c r="D43" s="30" t="str">
        <x:v>User is authenticated; at least one product with available stock exists and Stock Out is accessible.</x:v>
      </x:c>
      <x:c r="E43" s="30" t="str">
        <x:v>1. Open Stock Out.
2. Select/scan a product.
3. Enter quantity 0.
4. Attempt to confirm.</x:v>
      </x:c>
      <x:c r="F43" s="30" t="str">
        <x:v>Quantity = 0</x:v>
      </x:c>
      <x:c r="G43" s="30" t="str">
        <x:v>Zero quantity is rejected and no stock-out transaction is created.</x:v>
      </x:c>
      <x:c r="H43" s="30" t="str">
        <x:v>Observed behavior matched the expected result: Zero quantity is rejected and no stock-out transaction is created.</x:v>
      </x:c>
      <x:c r="I43" s="30" t="str">
        <x:v>Pass</x:v>
      </x:c>
      <x:c r="J43" s="30" t="str">
        <x:v>Boundary</x:v>
      </x:c>
      <x:c r="K43" s="30" t="str">
        <x:v>High</x:v>
      </x:c>
      <x:c r="L43" s="30" t="str">
        <x:v>06-Evidence/Stock-Out/TC-OUT-005.png</x:v>
      </x:c>
      <x:c r="M43" s="30" t="str">
        <x:v>Formally re-executed on 2026-09-03; screenshot evidence captured. Final result: PASS.</x:v>
      </x:c>
    </x:row>
    <x:row r="44">
      <x:c r="A44" s="30" t="str">
        <x:v>TC-OUT-006</x:v>
      </x:c>
      <x:c r="B44" s="30" t="str">
        <x:v>TS-OUT-006</x:v>
      </x:c>
      <x:c r="C44" s="30" t="str">
        <x:v>Stock Out</x:v>
      </x:c>
      <x:c r="D44" s="30" t="str">
        <x:v>User is authenticated; at least one product with available stock exists and Stock Out is accessible.</x:v>
      </x:c>
      <x:c r="E44" s="30" t="str">
        <x:v>1. Record available stock S.
2. Create stock-out for quantity exactly S.
3. Confirm transaction.
4. Check final stock.</x:v>
      </x:c>
      <x:c r="F44" s="30" t="str">
        <x:v>Requested quantity exactly equal to available stock</x:v>
      </x:c>
      <x:c r="G44" s="30" t="str">
        <x:v>Transaction succeeds and final available stock becomes 0.</x:v>
      </x:c>
      <x:c r="H44" s="30" t="str">
        <x:v>Observed behavior matched the expected result: Transaction succeeds and final available stock becomes 0.</x:v>
      </x:c>
      <x:c r="I44" s="30" t="str">
        <x:v>Pass</x:v>
      </x:c>
      <x:c r="J44" s="30" t="str">
        <x:v>Boundary</x:v>
      </x:c>
      <x:c r="K44" s="30" t="str">
        <x:v>Critical</x:v>
      </x:c>
      <x:c r="L44" s="30" t="str">
        <x:v>06-Evidence/Stock-Out/TC-OUT-006.png</x:v>
      </x:c>
      <x:c r="M44" s="30" t="str">
        <x:v>Formally re-executed on 2026-09-03; screenshot evidence captured. Final result: PASS.</x:v>
      </x:c>
    </x:row>
    <x:row r="45">
      <x:c r="A45" s="30" t="str">
        <x:v>TC-OUT-007</x:v>
      </x:c>
      <x:c r="B45" s="30" t="str">
        <x:v>TS-OUT-007</x:v>
      </x:c>
      <x:c r="C45" s="30" t="str">
        <x:v>Stock Out</x:v>
      </x:c>
      <x:c r="D45" s="30" t="str">
        <x:v>User is authenticated; at least one product with available stock exists and Stock Out is accessible.</x:v>
      </x:c>
      <x:c r="E45" s="30" t="str">
        <x:v>1. Open Stock Out.
2. Leave required field(s) empty.
3. Attempt to submit.</x:v>
      </x:c>
      <x:c r="F45" s="30" t="str">
        <x:v>One or more required stock-out fields left blank</x:v>
      </x:c>
      <x:c r="G45" s="30" t="str">
        <x:v>Required-field validation prevents the transaction.</x:v>
      </x:c>
      <x:c r="H45" s="30" t="str">
        <x:v>Observed behavior matched the expected result: Required-field validation prevents the transaction.</x:v>
      </x:c>
      <x:c r="I45" s="30" t="str">
        <x:v>Pass</x:v>
      </x:c>
      <x:c r="J45" s="30" t="str">
        <x:v>Validation</x:v>
      </x:c>
      <x:c r="K45" s="30" t="str">
        <x:v>High</x:v>
      </x:c>
      <x:c r="L45" s="30" t="str">
        <x:v>06-Evidence/Stock-Out/TC-OUT-007.png</x:v>
      </x:c>
      <x:c r="M45" s="30" t="str">
        <x:v>Formally re-executed on 2026-09-03; screenshot evidence captured. Final result: PASS.</x:v>
      </x:c>
    </x:row>
    <x:row r="46">
      <x:c r="A46" s="30" t="str">
        <x:v>TC-OUT-008</x:v>
      </x:c>
      <x:c r="B46" s="30" t="str">
        <x:v>TS-OUT-008</x:v>
      </x:c>
      <x:c r="C46" s="30" t="str">
        <x:v>Stock Out</x:v>
      </x:c>
      <x:c r="D46" s="30" t="str">
        <x:v>User is authenticated; at least one product with available stock exists and Stock Out is accessible.</x:v>
      </x:c>
      <x:c r="E46" s="30" t="str">
        <x:v>1. Open Stock Out.
2. Select/scan product.
3. Enter invalid quantity.
4. Attempt to confirm.</x:v>
      </x:c>
      <x:c r="F46" s="30" t="str">
        <x:v>Invalid quantity such as negative/non-numeric where not allowed</x:v>
      </x:c>
      <x:c r="G46" s="30" t="str">
        <x:v>Invalid quantity is rejected and stock remains unchanged.</x:v>
      </x:c>
      <x:c r="H46" s="30" t="str">
        <x:v>Observed behavior matched the expected result: Invalid quantity is rejected and stock remains unchanged.</x:v>
      </x:c>
      <x:c r="I46" s="30" t="str">
        <x:v>Pass</x:v>
      </x:c>
      <x:c r="J46" s="30" t="str">
        <x:v>Negative</x:v>
      </x:c>
      <x:c r="K46" s="30" t="str">
        <x:v>High</x:v>
      </x:c>
      <x:c r="L46" s="30" t="str">
        <x:v>06-Evidence/Stock-Out/TC-OUT-008.png</x:v>
      </x:c>
      <x:c r="M46" s="30" t="str">
        <x:v>Formally re-executed on 2026-09-03; screenshot evidence captured. Final result: PASS.</x:v>
      </x:c>
    </x:row>
    <x:row r="47">
      <x:c r="A47" s="30" t="str">
        <x:v>TC-OUT-009</x:v>
      </x:c>
      <x:c r="B47" s="30" t="str">
        <x:v>TS-OUT-009</x:v>
      </x:c>
      <x:c r="C47" s="30" t="str">
        <x:v>Stock Out</x:v>
      </x:c>
      <x:c r="D47" s="30" t="str">
        <x:v>User is authenticated; at least one product with available stock exists and Stock Out is accessible.</x:v>
      </x:c>
      <x:c r="E47" s="30" t="str">
        <x:v>1. Record relevant batch quantities/order.
2. Create a valid stock-out transaction.
3. Open batch details.
4. Identify which batch(es) were reduced.
5. Compare with the application's batch rule.</x:v>
      </x:c>
      <x:c r="F47" s="30" t="str">
        <x:v>Product with multiple available batches; known batch quantities/order</x:v>
      </x:c>
      <x:c r="G47" s="30" t="str">
        <x:v>The stock-out affects the correct batch(es) according to the implemented inventory rule and quantities remain consistent.</x:v>
      </x:c>
      <x:c r="H47" s="30" t="str">
        <x:v>Observed behavior matched the expected result: The stock-out affects the correct batch(es) according to the implemented inventory rule and quantities remain consistent.</x:v>
      </x:c>
      <x:c r="I47" s="30" t="str">
        <x:v>Pass</x:v>
      </x:c>
      <x:c r="J47" s="30" t="str">
        <x:v>Functional</x:v>
      </x:c>
      <x:c r="K47" s="30" t="str">
        <x:v>Critical</x:v>
      </x:c>
      <x:c r="L47" s="30" t="str">
        <x:v>06-Evidence/Stock-Out/TC-OUT-009.png</x:v>
      </x:c>
      <x:c r="M47" s="30" t="str">
        <x:v>Formally re-executed on 2026-09-03; screenshot evidence captured. Final result: PASS.</x:v>
      </x:c>
    </x:row>
    <x:row r="48">
      <x:c r="A48" s="30" t="str">
        <x:v>TC-OUT-010</x:v>
      </x:c>
      <x:c r="B48" s="30" t="str">
        <x:v>TS-OUT-010</x:v>
      </x:c>
      <x:c r="C48" s="30" t="str">
        <x:v>Stock Out</x:v>
      </x:c>
      <x:c r="D48" s="30" t="str">
        <x:v>User is authenticated; at least one product with available stock exists and Stock Out is accessible.</x:v>
      </x:c>
      <x:c r="E48" s="30" t="str">
        <x:v>1. Record available stock.
2. Attempt outgoing quantities at and above the stock limit.
3. Complete allowed transactions.
4. Check final inventory.</x:v>
      </x:c>
      <x:c r="F48" s="30" t="str">
        <x:v>Available stock S; test valid/invalid outgoing quantities around S</x:v>
      </x:c>
      <x:c r="G48" s="30" t="str">
        <x:v>Inventory never becomes negative under any tested stock-out condition.</x:v>
      </x:c>
      <x:c r="H48" s="30" t="str">
        <x:v>Observed behavior matched the expected result: Inventory never becomes negative under any tested stock-out condition.</x:v>
      </x:c>
      <x:c r="I48" s="30" t="str">
        <x:v>Pass</x:v>
      </x:c>
      <x:c r="J48" s="30" t="str">
        <x:v>Negative</x:v>
      </x:c>
      <x:c r="K48" s="30" t="str">
        <x:v>Critical</x:v>
      </x:c>
      <x:c r="L48" s="30" t="str">
        <x:v>06-Evidence/Stock-Out/TC-OUT-010.png</x:v>
      </x:c>
      <x:c r="M48" s="30" t="str">
        <x:v>Formally re-executed on 2026-09-03; screenshot evidence captured. Final result: PASS.</x:v>
      </x:c>
    </x:row>
    <x:row r="49">
      <x:c r="A49" s="30" t="str">
        <x:v>TC-SCAN-001</x:v>
      </x:c>
      <x:c r="B49" s="30" t="str">
        <x:v>TS-SCAN-001</x:v>
      </x:c>
      <x:c r="C49" s="30" t="str">
        <x:v>Scanner</x:v>
      </x:c>
      <x:c r="D49" s="30" t="str">
        <x:v>User is authenticated; scanning function is accessible; device/emulator camera permission is available where required.</x:v>
      </x:c>
      <x:c r="E49" s="30" t="str">
        <x:v>1. Open Scanner.
2. Scan a valid product code.
3. Wait for recognition.</x:v>
      </x:c>
      <x:c r="F49" s="30" t="str">
        <x:v>Valid QR/barcode linked to an existing product</x:v>
      </x:c>
      <x:c r="G49" s="30" t="str">
        <x:v>The scanner recognizes the code and continues to the intended product/stock-out flow.</x:v>
      </x:c>
      <x:c r="H49" s="30" t="str">
        <x:v>Observed behavior matched the expected result: The scanner recognizes the code and continues to the intended product/stock-out flow.</x:v>
      </x:c>
      <x:c r="I49" s="30" t="str">
        <x:v>Pass</x:v>
      </x:c>
      <x:c r="J49" s="30" t="str">
        <x:v>Positive</x:v>
      </x:c>
      <x:c r="K49" s="30" t="str">
        <x:v>High</x:v>
      </x:c>
      <x:c r="L49" s="30" t="str">
        <x:v>06-Evidence/Scanner/TC-SCAN-001.png</x:v>
      </x:c>
      <x:c r="M49" s="30" t="str">
        <x:v>Formally re-executed on 2026-09-03; screenshot evidence captured. Final result: PASS.</x:v>
      </x:c>
    </x:row>
    <x:row r="50">
      <x:c r="A50" s="30" t="str">
        <x:v>TC-SCAN-002</x:v>
      </x:c>
      <x:c r="B50" s="30" t="str">
        <x:v>TS-SCAN-002</x:v>
      </x:c>
      <x:c r="C50" s="30" t="str">
        <x:v>Scanner</x:v>
      </x:c>
      <x:c r="D50" s="30" t="str">
        <x:v>User is authenticated; scanning function is accessible; device/emulator camera permission is available where required.</x:v>
      </x:c>
      <x:c r="E50" s="30" t="str">
        <x:v>1. Scan a known product code.
2. Observe the product information shown.
3. Compare with Product Management data.</x:v>
      </x:c>
      <x:c r="F50" s="30" t="str">
        <x:v>Valid code for a known product</x:v>
      </x:c>
      <x:c r="G50" s="30" t="str">
        <x:v>Displayed product information matches the scanned product.</x:v>
      </x:c>
      <x:c r="H50" s="30" t="str">
        <x:v>Observed behavior matched the expected result: Displayed product information matches the scanned product.</x:v>
      </x:c>
      <x:c r="I50" s="30" t="str">
        <x:v>Pass</x:v>
      </x:c>
      <x:c r="J50" s="30" t="str">
        <x:v>Functional</x:v>
      </x:c>
      <x:c r="K50" s="30" t="str">
        <x:v>High</x:v>
      </x:c>
      <x:c r="L50" s="30" t="str">
        <x:v>06-Evidence/Scanner/TC-SCAN-002.png</x:v>
      </x:c>
      <x:c r="M50" s="30" t="str">
        <x:v>Formally re-executed on 2026-09-03; screenshot evidence captured. Final result: PASS.</x:v>
      </x:c>
    </x:row>
    <x:row r="51">
      <x:c r="A51" s="30" t="str">
        <x:v>TC-SCAN-003</x:v>
      </x:c>
      <x:c r="B51" s="30" t="str">
        <x:v>TS-SCAN-003</x:v>
      </x:c>
      <x:c r="C51" s="30" t="str">
        <x:v>Scanner</x:v>
      </x:c>
      <x:c r="D51" s="30" t="str">
        <x:v>User is authenticated; scanning function is accessible; device/emulator camera permission is available where required.</x:v>
      </x:c>
      <x:c r="E51" s="30" t="str">
        <x:v>1. Open Scanner.
2. Scan an unknown/unregistered code.
3. Observe response.</x:v>
      </x:c>
      <x:c r="F51" s="30" t="str">
        <x:v>Well-formed code not linked to any product</x:v>
      </x:c>
      <x:c r="G51" s="30" t="str">
        <x:v>The application safely indicates that the product/code is not found and does not select an unrelated product.</x:v>
      </x:c>
      <x:c r="H51" s="30" t="str">
        <x:v>Observed behavior matched the expected result: The application safely indicates that the product/code is not found and does not select an unrelated product.</x:v>
      </x:c>
      <x:c r="I51" s="30" t="str">
        <x:v>Pass</x:v>
      </x:c>
      <x:c r="J51" s="30" t="str">
        <x:v>Negative</x:v>
      </x:c>
      <x:c r="K51" s="30" t="str">
        <x:v>Medium</x:v>
      </x:c>
      <x:c r="L51" s="30" t="str">
        <x:v>06-Evidence/Scanner/TC-SCAN-003.png</x:v>
      </x:c>
      <x:c r="M51" s="30" t="str">
        <x:v>Formally re-executed on 2026-09-03; screenshot evidence captured. Final result: PASS.</x:v>
      </x:c>
    </x:row>
    <x:row r="52">
      <x:c r="A52" s="30" t="str">
        <x:v>TC-SCAN-004</x:v>
      </x:c>
      <x:c r="B52" s="30" t="str">
        <x:v>TS-SCAN-004</x:v>
      </x:c>
      <x:c r="C52" s="30" t="str">
        <x:v>Scanner</x:v>
      </x:c>
      <x:c r="D52" s="30" t="str">
        <x:v>User is authenticated; scanning function is accessible; device/emulator camera permission is available where required.</x:v>
      </x:c>
      <x:c r="E52" s="30" t="str">
        <x:v>1. Open Scanner.
2. Present invalid or unreadable input.
3. Observe application behavior.
4. Try to exit/retry.</x:v>
      </x:c>
      <x:c r="F52" s="30" t="str">
        <x:v>Unreadable/invalid code or non-code image</x:v>
      </x:c>
      <x:c r="G52" s="30" t="str">
        <x:v>The application does not crash and allows safe retry/exit.</x:v>
      </x:c>
      <x:c r="H52" s="30" t="str">
        <x:v>Observed behavior matched the expected result: The application does not crash and allows safe retry/exit.</x:v>
      </x:c>
      <x:c r="I52" s="30" t="str">
        <x:v>Pass</x:v>
      </x:c>
      <x:c r="J52" s="30" t="str">
        <x:v>Negative</x:v>
      </x:c>
      <x:c r="K52" s="30" t="str">
        <x:v>Medium</x:v>
      </x:c>
      <x:c r="L52" s="30" t="str">
        <x:v>06-Evidence/Scanner/TC-SCAN-004.png</x:v>
      </x:c>
      <x:c r="M52" s="30" t="str">
        <x:v>Formally re-executed on 2026-09-03; screenshot evidence captured. Final result: PASS.</x:v>
      </x:c>
    </x:row>
    <x:row r="53">
      <x:c r="A53" s="30" t="str">
        <x:v>TC-SCAN-005</x:v>
      </x:c>
      <x:c r="B53" s="30" t="str">
        <x:v>TS-SCAN-005</x:v>
      </x:c>
      <x:c r="C53" s="30" t="str">
        <x:v>Scanner</x:v>
      </x:c>
      <x:c r="D53" s="30" t="str">
        <x:v>User is authenticated; scanning function is accessible; device/emulator camera permission is available where required.</x:v>
      </x:c>
      <x:c r="E53" s="30" t="str">
        <x:v>1. Scan product code A.
2. Record selected product.
3. Return/retry and scan product code B.
4. Compare selection.</x:v>
      </x:c>
      <x:c r="F53" s="30" t="str">
        <x:v>Two distinct product codes</x:v>
      </x:c>
      <x:c r="G53" s="30" t="str">
        <x:v>Each scan selects only the product linked to that code; no incorrect product is selected.</x:v>
      </x:c>
      <x:c r="H53" s="30" t="str">
        <x:v>Observed behavior matched the expected result: Each scan selects only the product linked to that code; no incorrect product is selected.</x:v>
      </x:c>
      <x:c r="I53" s="30" t="str">
        <x:v>Pass</x:v>
      </x:c>
      <x:c r="J53" s="30" t="str">
        <x:v>Functional</x:v>
      </x:c>
      <x:c r="K53" s="30" t="str">
        <x:v>High</x:v>
      </x:c>
      <x:c r="L53" s="30" t="str">
        <x:v>06-Evidence/Scanner/TC-SCAN-005.png</x:v>
      </x:c>
      <x:c r="M53" s="30" t="str">
        <x:v>Formally re-executed on 2026-09-03; screenshot evidence captured. Final result: PASS.</x:v>
      </x:c>
    </x:row>
    <x:row r="54">
      <x:c r="A54" s="30" t="str">
        <x:v>TC-HIST-001</x:v>
      </x:c>
      <x:c r="B54" s="30" t="str">
        <x:v>TS-HIST-001</x:v>
      </x:c>
      <x:c r="C54" s="30" t="str">
        <x:v>History</x:v>
      </x:c>
      <x:c r="D54" s="30" t="str">
        <x:v>User is authenticated and Transaction History is accessible.</x:v>
      </x:c>
      <x:c r="E54" s="30" t="str">
        <x:v>1. Open Transaction History.
2. Wait for records to load.
3. Observe list.</x:v>
      </x:c>
      <x:c r="F54" s="30" t="str">
        <x:v>Existing transaction records</x:v>
      </x:c>
      <x:c r="G54" s="30" t="str">
        <x:v>Transaction history is displayed successfully.</x:v>
      </x:c>
      <x:c r="H54" s="30" t="str">
        <x:v>Observed behavior matched the expected result: Transaction history is displayed successfully.</x:v>
      </x:c>
      <x:c r="I54" s="30" t="str">
        <x:v>Pass</x:v>
      </x:c>
      <x:c r="J54" s="30" t="str">
        <x:v>Functional</x:v>
      </x:c>
      <x:c r="K54" s="30" t="str">
        <x:v>High</x:v>
      </x:c>
      <x:c r="L54" s="30" t="str">
        <x:v>06-Evidence/History/TC-HIST-001.png</x:v>
      </x:c>
      <x:c r="M54" s="30" t="str">
        <x:v>Formally re-executed on 2026-09-03; screenshot evidence captured. Final result: PASS.</x:v>
      </x:c>
    </x:row>
    <x:row r="55">
      <x:c r="A55" s="30" t="str">
        <x:v>TC-HIST-002</x:v>
      </x:c>
      <x:c r="B55" s="30" t="str">
        <x:v>TS-HIST-002</x:v>
      </x:c>
      <x:c r="C55" s="30" t="str">
        <x:v>History</x:v>
      </x:c>
      <x:c r="D55" s="30" t="str">
        <x:v>User is authenticated and Transaction History is accessible.</x:v>
      </x:c>
      <x:c r="E55" s="30" t="str">
        <x:v>1. Create a stock-in transaction.
2. Open/refresh History.
3. Locate the transaction.</x:v>
      </x:c>
      <x:c r="F55" s="30" t="str">
        <x:v>New valid stock-in transaction</x:v>
      </x:c>
      <x:c r="G55" s="30" t="str">
        <x:v>The new stock-in transaction appears in history.</x:v>
      </x:c>
      <x:c r="H55" s="30" t="str">
        <x:v>Observed behavior matched the expected result: The new stock-in transaction appears in history.</x:v>
      </x:c>
      <x:c r="I55" s="30" t="str">
        <x:v>Pass</x:v>
      </x:c>
      <x:c r="J55" s="30" t="str">
        <x:v>Functional</x:v>
      </x:c>
      <x:c r="K55" s="30" t="str">
        <x:v>High</x:v>
      </x:c>
      <x:c r="L55" s="30" t="str">
        <x:v>06-Evidence/History/TC-HIST-002.png</x:v>
      </x:c>
      <x:c r="M55" s="30" t="str">
        <x:v>Formally re-executed on 2026-09-03; screenshot evidence captured. Final result: PASS.</x:v>
      </x:c>
    </x:row>
    <x:row r="56">
      <x:c r="A56" s="30" t="str">
        <x:v>TC-HIST-003</x:v>
      </x:c>
      <x:c r="B56" s="30" t="str">
        <x:v>TS-HIST-003</x:v>
      </x:c>
      <x:c r="C56" s="30" t="str">
        <x:v>History</x:v>
      </x:c>
      <x:c r="D56" s="30" t="str">
        <x:v>User is authenticated and Transaction History is accessible.</x:v>
      </x:c>
      <x:c r="E56" s="30" t="str">
        <x:v>1. Create a stock-out transaction.
2. Open/refresh History.
3. Locate the transaction.</x:v>
      </x:c>
      <x:c r="F56" s="30" t="str">
        <x:v>New valid stock-out transaction</x:v>
      </x:c>
      <x:c r="G56" s="30" t="str">
        <x:v>The new stock-out transaction appears in history.</x:v>
      </x:c>
      <x:c r="H56" s="30" t="str">
        <x:v>Observed behavior matched the expected result: The new stock-out transaction appears in history.</x:v>
      </x:c>
      <x:c r="I56" s="30" t="str">
        <x:v>Pass</x:v>
      </x:c>
      <x:c r="J56" s="30" t="str">
        <x:v>Functional</x:v>
      </x:c>
      <x:c r="K56" s="30" t="str">
        <x:v>High</x:v>
      </x:c>
      <x:c r="L56" s="30" t="str">
        <x:v>06-Evidence/History/TC-HIST-003.png</x:v>
      </x:c>
      <x:c r="M56" s="30" t="str">
        <x:v>Formally re-executed on 2026-09-03; screenshot evidence captured. Final result: PASS.</x:v>
      </x:c>
    </x:row>
    <x:row r="57">
      <x:c r="A57" s="30" t="str">
        <x:v>TC-HIST-004</x:v>
      </x:c>
      <x:c r="B57" s="30" t="str">
        <x:v>TS-HIST-004</x:v>
      </x:c>
      <x:c r="C57" s="30" t="str">
        <x:v>History</x:v>
      </x:c>
      <x:c r="D57" s="30" t="str">
        <x:v>User is authenticated and Transaction History is accessible.</x:v>
      </x:c>
      <x:c r="E57" s="30" t="str">
        <x:v>1. Open History.
2. Select a known transaction.
3. Open/view transaction detail.
4. Compare displayed information with source transaction.</x:v>
      </x:c>
      <x:c r="F57" s="30" t="str">
        <x:v>Known transaction record</x:v>
      </x:c>
      <x:c r="G57" s="30" t="str">
        <x:v>Transaction detail contains the correct transaction information.</x:v>
      </x:c>
      <x:c r="H57" s="30" t="str">
        <x:v>Observed behavior matched the expected result: Transaction detail contains the correct transaction information.</x:v>
      </x:c>
      <x:c r="I57" s="30" t="str">
        <x:v>Pass</x:v>
      </x:c>
      <x:c r="J57" s="30" t="str">
        <x:v>Functional</x:v>
      </x:c>
      <x:c r="K57" s="30" t="str">
        <x:v>High</x:v>
      </x:c>
      <x:c r="L57" s="30" t="str">
        <x:v>06-Evidence/History/TC-HIST-004.png</x:v>
      </x:c>
      <x:c r="M57" s="30" t="str">
        <x:v>Formally re-executed on 2026-09-03; screenshot evidence captured. Final result: PASS.</x:v>
      </x:c>
    </x:row>
    <x:row r="58">
      <x:c r="A58" s="30" t="str">
        <x:v>TC-HIST-005</x:v>
      </x:c>
      <x:c r="B58" s="30" t="str">
        <x:v>TS-HIST-005</x:v>
      </x:c>
      <x:c r="C58" s="30" t="str">
        <x:v>History</x:v>
      </x:c>
      <x:c r="D58" s="30" t="str">
        <x:v>User is authenticated and Transaction History is accessible.</x:v>
      </x:c>
      <x:c r="E58" s="30" t="str">
        <x:v>1. Record known transactions and quantities.
2. Open History.
3. Locate each transaction.
4. Compare type, product, quantity and other displayed key details.</x:v>
      </x:c>
      <x:c r="F58" s="30" t="str">
        <x:v>Known stock-in and stock-out transactions</x:v>
      </x:c>
      <x:c r="G58" s="30" t="str">
        <x:v>History remains consistent with the inventory transactions that occurred.</x:v>
      </x:c>
      <x:c r="H58" s="30" t="str">
        <x:v>Observed behavior matched the expected result: History remains consistent with the inventory transactions that occurred.</x:v>
      </x:c>
      <x:c r="I58" s="30" t="str">
        <x:v>Pass</x:v>
      </x:c>
      <x:c r="J58" s="30" t="str">
        <x:v>Functional</x:v>
      </x:c>
      <x:c r="K58" s="30" t="str">
        <x:v>Critical</x:v>
      </x:c>
      <x:c r="L58" s="30" t="str">
        <x:v>06-Evidence/History/TC-HIST-005.png</x:v>
      </x:c>
      <x:c r="M58" s="30" t="str">
        <x:v>Formally re-executed on 2026-09-03; screenshot evidence captured. Final result: PASS.</x:v>
      </x:c>
    </x:row>
    <x:row r="59">
      <x:c r="A59" s="30" t="str">
        <x:v>TC-REP-001</x:v>
      </x:c>
      <x:c r="B59" s="30" t="str">
        <x:v>TS-REP-001</x:v>
      </x:c>
      <x:c r="C59" s="30" t="str">
        <x:v>Reports</x:v>
      </x:c>
      <x:c r="D59" s="30" t="str">
        <x:v>User is authenticated and Reports module is accessible.</x:v>
      </x:c>
      <x:c r="E59" s="30" t="str">
        <x:v>1. Open Reports.
2. Wait for page/data loading.
3. Observe the page.</x:v>
      </x:c>
      <x:c r="F59" s="30" t="str">
        <x:v>N/A</x:v>
      </x:c>
      <x:c r="G59" s="30" t="str">
        <x:v>Reports page loads successfully without error.</x:v>
      </x:c>
      <x:c r="H59" s="30" t="str">
        <x:v>Observed behavior matched the expected result: Reports page loads successfully without error.</x:v>
      </x:c>
      <x:c r="I59" s="30" t="str">
        <x:v>Pass</x:v>
      </x:c>
      <x:c r="J59" s="30" t="str">
        <x:v>Functional</x:v>
      </x:c>
      <x:c r="K59" s="30" t="str">
        <x:v>High</x:v>
      </x:c>
      <x:c r="L59" s="30" t="str">
        <x:v>06-Evidence/Reports/TC-REP-001.png</x:v>
      </x:c>
      <x:c r="M59" s="30" t="str">
        <x:v>Formally re-executed on 2026-09-03; screenshot evidence captured. Final result: PASS.</x:v>
      </x:c>
    </x:row>
    <x:row r="60">
      <x:c r="A60" s="30" t="str">
        <x:v>TC-REP-002</x:v>
      </x:c>
      <x:c r="B60" s="30" t="str">
        <x:v>TS-REP-002</x:v>
      </x:c>
      <x:c r="C60" s="30" t="str">
        <x:v>Reports</x:v>
      </x:c>
      <x:c r="D60" s="30" t="str">
        <x:v>User is authenticated and Reports module is accessible.</x:v>
      </x:c>
      <x:c r="E60" s="30" t="str">
        <x:v>1. Record known transaction values.
2. Open/generate report.
3. Compare reported values with the known transaction data.</x:v>
      </x:c>
      <x:c r="F60" s="30" t="str">
        <x:v>Known transaction dataset</x:v>
      </x:c>
      <x:c r="G60" s="30" t="str">
        <x:v>Report values correspond to the transaction data used by the application.</x:v>
      </x:c>
      <x:c r="H60" s="30" t="str">
        <x:v>Observed behavior matched the expected result: Report values correspond to the transaction data used by the application.</x:v>
      </x:c>
      <x:c r="I60" s="30" t="str">
        <x:v>Pass</x:v>
      </x:c>
      <x:c r="J60" s="30" t="str">
        <x:v>Functional</x:v>
      </x:c>
      <x:c r="K60" s="30" t="str">
        <x:v>Critical</x:v>
      </x:c>
      <x:c r="L60" s="30" t="str">
        <x:v>06-Evidence/Reports/TC-REP-002.png</x:v>
      </x:c>
      <x:c r="M60" s="30" t="str">
        <x:v>Formally re-executed on 2026-09-03; screenshot evidence captured. Final result: PASS.</x:v>
      </x:c>
    </x:row>
    <x:row r="61">
      <x:c r="A61" s="30" t="str">
        <x:v>TC-REP-003</x:v>
      </x:c>
      <x:c r="B61" s="30" t="str">
        <x:v>TS-REP-003</x:v>
      </x:c>
      <x:c r="C61" s="30" t="str">
        <x:v>Reports</x:v>
      </x:c>
      <x:c r="D61" s="30" t="str">
        <x:v>User is authenticated and Reports module is accessible.</x:v>
      </x:c>
      <x:c r="E61" s="30" t="str">
        <x:v>1. Open Reports.
2. Choose the report/generate action.
3. Provide required parameters if any.
4. Generate report.</x:v>
      </x:c>
      <x:c r="F61" s="30" t="str">
        <x:v>Available report data</x:v>
      </x:c>
      <x:c r="G61" s="30" t="str">
        <x:v>Report is generated successfully.</x:v>
      </x:c>
      <x:c r="H61" s="30" t="str">
        <x:v>Observed behavior matched the expected result: Report is generated successfully.</x:v>
      </x:c>
      <x:c r="I61" s="30" t="str">
        <x:v>Pass</x:v>
      </x:c>
      <x:c r="J61" s="30" t="str">
        <x:v>Functional</x:v>
      </x:c>
      <x:c r="K61" s="30" t="str">
        <x:v>High</x:v>
      </x:c>
      <x:c r="L61" s="30" t="str">
        <x:v>06-Evidence/Reports/TC-REP-003.png</x:v>
      </x:c>
      <x:c r="M61" s="30" t="str">
        <x:v>Formally re-executed on 2026-09-03; screenshot evidence captured. Final result: PASS.</x:v>
      </x:c>
    </x:row>
    <x:row r="62">
      <x:c r="A62" s="30" t="str">
        <x:v>TC-REP-004</x:v>
      </x:c>
      <x:c r="B62" s="30" t="str">
        <x:v>TS-REP-004</x:v>
      </x:c>
      <x:c r="C62" s="30" t="str">
        <x:v>Reports</x:v>
      </x:c>
      <x:c r="D62" s="30" t="str">
        <x:v>User is authenticated and Reports module is accessible.</x:v>
      </x:c>
      <x:c r="E62" s="30" t="str">
        <x:v>1. Generate a report.
2. Use the available export action.
3. Open the exported file/output.
4. Compare key values.</x:v>
      </x:c>
      <x:c r="F62" s="30" t="str">
        <x:v>Available report data</x:v>
      </x:c>
      <x:c r="G62" s="30" t="str">
        <x:v>Export completes successfully and the exported report contains correct information.</x:v>
      </x:c>
      <x:c r="H62" s="30" t="str">
        <x:v>Observed behavior matched the expected result: Export completes successfully and the exported report contains correct information.</x:v>
      </x:c>
      <x:c r="I62" s="30" t="str">
        <x:v>Pass</x:v>
      </x:c>
      <x:c r="J62" s="30" t="str">
        <x:v>Functional</x:v>
      </x:c>
      <x:c r="K62" s="30" t="str">
        <x:v>High</x:v>
      </x:c>
      <x:c r="L62" s="30" t="str">
        <x:v>06-Evidence/Reports/TC-REP-004.png</x:v>
      </x:c>
      <x:c r="M62" s="30" t="str">
        <x:v>Formally re-executed on 2026-09-03; screenshot evidence captured. Final result: PASS.</x:v>
      </x:c>
    </x:row>
    <x:row r="63">
      <x:c r="A63" s="30" t="str">
        <x:v>TC-REP-005</x:v>
      </x:c>
      <x:c r="B63" s="30" t="str">
        <x:v>TS-REP-005</x:v>
      </x:c>
      <x:c r="C63" s="30" t="str">
        <x:v>Reports</x:v>
      </x:c>
      <x:c r="D63" s="30" t="str">
        <x:v>User is authenticated and Reports module is accessible.</x:v>
      </x:c>
      <x:c r="E63" s="30" t="str">
        <x:v>1. Prepare/select a state with no report data.
2. Open/generate the report.
3. Observe result.</x:v>
      </x:c>
      <x:c r="F63" s="30" t="str">
        <x:v>Report period/state with no matching data</x:v>
      </x:c>
      <x:c r="G63" s="30" t="str">
        <x:v>The application handles no-data conditions gracefully without crash or misleading records.</x:v>
      </x:c>
      <x:c r="H63" s="30" t="str">
        <x:v>Observed behavior matched the expected result: The application handles no-data conditions gracefully without crash or misleading records.</x:v>
      </x:c>
      <x:c r="I63" s="30" t="str">
        <x:v>Pass</x:v>
      </x:c>
      <x:c r="J63" s="30" t="str">
        <x:v>Negative</x:v>
      </x:c>
      <x:c r="K63" s="30" t="str">
        <x:v>Medium</x:v>
      </x:c>
      <x:c r="L63" s="30" t="str">
        <x:v>06-Evidence/Reports/TC-REP-005.png</x:v>
      </x:c>
      <x:c r="M63" s="30" t="str">
        <x:v>Formally re-executed on 2026-09-03; screenshot evidence captured. Final result: PASS.</x:v>
      </x:c>
    </x:row>
    <x:row r="64">
      <x:c r="A64" s="30" t="str">
        <x:v>TC-USER-001</x:v>
      </x:c>
      <x:c r="B64" s="30" t="str">
        <x:v>TS-USER-001</x:v>
      </x:c>
      <x:c r="C64" s="30" t="str">
        <x:v>User Management</x:v>
      </x:c>
      <x:c r="D64" s="30" t="str">
        <x:v>An authorized user/admin is authenticated and User Management is accessible.</x:v>
      </x:c>
      <x:c r="E64" s="30" t="str">
        <x:v>1. Open User Management.
2. Wait for users to load.
3. Observe list.</x:v>
      </x:c>
      <x:c r="F64" s="30" t="str">
        <x:v>N/A</x:v>
      </x:c>
      <x:c r="G64" s="30" t="str">
        <x:v>User list is displayed successfully.</x:v>
      </x:c>
      <x:c r="H64" s="30" t="str">
        <x:v>Observed behavior matched the expected result: User list is displayed successfully.</x:v>
      </x:c>
      <x:c r="I64" s="30" t="str">
        <x:v>Pass</x:v>
      </x:c>
      <x:c r="J64" s="30" t="str">
        <x:v>Functional</x:v>
      </x:c>
      <x:c r="K64" s="30" t="str">
        <x:v>High</x:v>
      </x:c>
      <x:c r="L64" s="30" t="str">
        <x:v>06-Evidence/User-Management/TC-USER-001.png</x:v>
      </x:c>
      <x:c r="M64" s="30" t="str">
        <x:v>Formally re-executed on 2026-09-03; screenshot evidence captured. Final result: PASS.</x:v>
      </x:c>
    </x:row>
    <x:row r="65">
      <x:c r="A65" s="30" t="str">
        <x:v>TC-USER-002</x:v>
      </x:c>
      <x:c r="B65" s="30" t="str">
        <x:v>TS-USER-002</x:v>
      </x:c>
      <x:c r="C65" s="30" t="str">
        <x:v>User Management</x:v>
      </x:c>
      <x:c r="D65" s="30" t="str">
        <x:v>An authorized user/admin is authenticated and User Management is accessible.</x:v>
      </x:c>
      <x:c r="E65" s="30" t="str">
        <x:v>1. Open User Management.
2. Choose Add User.
3. Enter valid unique data.
4. Save/create.
5. Locate the new user.</x:v>
      </x:c>
      <x:c r="F65" s="30" t="str">
        <x:v>Unique valid user data for all required fields</x:v>
      </x:c>
      <x:c r="G65" s="30" t="str">
        <x:v>New user is created and appears with the entered information.</x:v>
      </x:c>
      <x:c r="H65" s="30" t="str">
        <x:v>Observed behavior matched the expected result: New user is created and appears with the entered information.</x:v>
      </x:c>
      <x:c r="I65" s="30" t="str">
        <x:v>Pass</x:v>
      </x:c>
      <x:c r="J65" s="30" t="str">
        <x:v>Positive</x:v>
      </x:c>
      <x:c r="K65" s="30" t="str">
        <x:v>High</x:v>
      </x:c>
      <x:c r="L65" s="30" t="str">
        <x:v>06-Evidence/User-Management/TC-USER-002.png</x:v>
      </x:c>
      <x:c r="M65" s="30" t="str">
        <x:v>Formally re-executed on 2026-09-03; screenshot evidence captured. Final result: PASS.</x:v>
      </x:c>
    </x:row>
    <x:row r="66">
      <x:c r="A66" s="30" t="str">
        <x:v>TC-USER-003</x:v>
      </x:c>
      <x:c r="B66" s="30" t="str">
        <x:v>TS-USER-003</x:v>
      </x:c>
      <x:c r="C66" s="30" t="str">
        <x:v>User Management</x:v>
      </x:c>
      <x:c r="D66" s="30" t="str">
        <x:v>An authorized user/admin is authenticated and User Management is accessible.</x:v>
      </x:c>
      <x:c r="E66" s="30" t="str">
        <x:v>1. Choose Add/Edit User.
2. Leave required field(s) blank.
3. Attempt to save.</x:v>
      </x:c>
      <x:c r="F66" s="30" t="str">
        <x:v>Required user field(s) blank</x:v>
      </x:c>
      <x:c r="G66" s="30" t="str">
        <x:v>Validation blocks incomplete user data.</x:v>
      </x:c>
      <x:c r="H66" s="30" t="str">
        <x:v>Observed behavior matched the expected result: Validation blocks incomplete user data.</x:v>
      </x:c>
      <x:c r="I66" s="30" t="str">
        <x:v>Pass</x:v>
      </x:c>
      <x:c r="J66" s="30" t="str">
        <x:v>Validation</x:v>
      </x:c>
      <x:c r="K66" s="30" t="str">
        <x:v>High</x:v>
      </x:c>
      <x:c r="L66" s="30" t="str">
        <x:v>06-Evidence/User-Management/TC-USER-003.png</x:v>
      </x:c>
      <x:c r="M66" s="30" t="str">
        <x:v>Formally re-executed on 2026-09-03; screenshot evidence captured. Final result: PASS.</x:v>
      </x:c>
    </x:row>
    <x:row r="67">
      <x:c r="A67" s="30" t="str">
        <x:v>TC-USER-004</x:v>
      </x:c>
      <x:c r="B67" s="30" t="str">
        <x:v>TS-USER-004</x:v>
      </x:c>
      <x:c r="C67" s="30" t="str">
        <x:v>User Management</x:v>
      </x:c>
      <x:c r="D67" s="30" t="str">
        <x:v>An authorized user/admin is authenticated and User Management is accessible.</x:v>
      </x:c>
      <x:c r="E67" s="30" t="str">
        <x:v>1. Open an existing user.
2. Edit allowed information.
3. Save.
4. Reopen user.</x:v>
      </x:c>
      <x:c r="F67" s="30" t="str">
        <x:v>Existing user; new valid editable value</x:v>
      </x:c>
      <x:c r="G67" s="30" t="str">
        <x:v>Updated user information is saved and displayed correctly.</x:v>
      </x:c>
      <x:c r="H67" s="30" t="str">
        <x:v>Observed behavior matched the expected result: Updated user information is saved and displayed correctly.</x:v>
      </x:c>
      <x:c r="I67" s="30" t="str">
        <x:v>Pass</x:v>
      </x:c>
      <x:c r="J67" s="30" t="str">
        <x:v>Functional</x:v>
      </x:c>
      <x:c r="K67" s="30" t="str">
        <x:v>High</x:v>
      </x:c>
      <x:c r="L67" s="30" t="str">
        <x:v>06-Evidence/User-Management/TC-USER-004.png</x:v>
      </x:c>
      <x:c r="M67" s="30" t="str">
        <x:v>Formally re-executed on 2026-09-03; screenshot evidence captured. Final result: PASS.</x:v>
      </x:c>
    </x:row>
    <x:row r="68">
      <x:c r="A68" s="30" t="str">
        <x:v>TC-USER-005</x:v>
      </x:c>
      <x:c r="B68" s="30" t="str">
        <x:v>TS-USER-005</x:v>
      </x:c>
      <x:c r="C68" s="30" t="str">
        <x:v>User Management</x:v>
      </x:c>
      <x:c r="D68" s="30" t="str">
        <x:v>An authorized user/admin is authenticated and User Management is accessible.</x:v>
      </x:c>
      <x:c r="E68" s="30" t="str">
        <x:v>1. Open an existing user.
2. Change user status.
3. Save.
4. Reload/reopen the user.</x:v>
      </x:c>
      <x:c r="F68" s="30" t="str">
        <x:v>Existing active/inactive test user</x:v>
      </x:c>
      <x:c r="G68" s="30" t="str">
        <x:v>User status change is persisted correctly.</x:v>
      </x:c>
      <x:c r="H68" s="30" t="str">
        <x:v>Observed behavior matched the expected result: User status change is persisted correctly.</x:v>
      </x:c>
      <x:c r="I68" s="30" t="str">
        <x:v>Pass</x:v>
      </x:c>
      <x:c r="J68" s="30" t="str">
        <x:v>Functional</x:v>
      </x:c>
      <x:c r="K68" s="30" t="str">
        <x:v>High</x:v>
      </x:c>
      <x:c r="L68" s="30" t="str">
        <x:v>06-Evidence/User-Management/TC-USER-005.png</x:v>
      </x:c>
      <x:c r="M68" s="30" t="str">
        <x:v>Formally re-executed on 2026-09-03; screenshot evidence captured. Final result: PASS.</x:v>
      </x:c>
    </x:row>
    <x:row r="69">
      <x:c r="A69" s="30" t="str">
        <x:v>TC-USER-006</x:v>
      </x:c>
      <x:c r="B69" s="30" t="str">
        <x:v>TS-USER-006</x:v>
      </x:c>
      <x:c r="C69" s="30" t="str">
        <x:v>User Management</x:v>
      </x:c>
      <x:c r="D69" s="30" t="str">
        <x:v>An authorized user/admin is authenticated and User Management is accessible.</x:v>
      </x:c>
      <x:c r="E69" s="30" t="str">
        <x:v>1. Set the test user to inactive.
2. Logout current session.
3. Attempt login with the inactive user's valid credentials.</x:v>
      </x:c>
      <x:c r="F69" s="30" t="str">
        <x:v>User whose status has been set to inactive; valid credentials</x:v>
      </x:c>
      <x:c r="G69" s="30" t="str">
        <x:v>Inactive user cannot login.</x:v>
      </x:c>
      <x:c r="H69" s="30" t="str">
        <x:v>Observed behavior matched the expected result: Inactive user cannot login.</x:v>
      </x:c>
      <x:c r="I69" s="30" t="str">
        <x:v>Pass</x:v>
      </x:c>
      <x:c r="J69" s="30" t="str">
        <x:v>Regression</x:v>
      </x:c>
      <x:c r="K69" s="30" t="str">
        <x:v>Critical</x:v>
      </x:c>
      <x:c r="L69" s="30" t="str">
        <x:v>06-Evidence/User-Management/TC-USER-006.png</x:v>
      </x:c>
      <x:c r="M69" s="30" t="str">
        <x:v>Formally re-executed on 2026-09-03; screenshot evidence captured. Final result: PASS.</x:v>
      </x:c>
    </x:row>
    <x:row r="70">
      <x:c r="A70" s="30" t="str">
        <x:v>TC-USER-007</x:v>
      </x:c>
      <x:c r="B70" s="30" t="str">
        <x:v>TS-USER-007</x:v>
      </x:c>
      <x:c r="C70" s="30" t="str">
        <x:v>User Management</x:v>
      </x:c>
      <x:c r="D70" s="30" t="str">
        <x:v>An authorized user/admin is authenticated and User Management is accessible.</x:v>
      </x:c>
      <x:c r="E70" s="30" t="str">
        <x:v>1. Login using role/account A.
2. Record accessible modules/actions.
3. Logout.
4. Login using role/account B.
5. Compare access with configured permissions.</x:v>
      </x:c>
      <x:c r="F70" s="30" t="str">
        <x:v>Accounts with different configured roles/permissions</x:v>
      </x:c>
      <x:c r="G70" s="30" t="str">
        <x:v>Each user can access only the modules/actions allowed by the assigned role.</x:v>
      </x:c>
      <x:c r="H70" s="30" t="str">
        <x:v>Observed behavior matched the expected result: Each user can access only the modules/actions allowed by the assigned role.</x:v>
      </x:c>
      <x:c r="I70" s="30" t="str">
        <x:v>Pass</x:v>
      </x:c>
      <x:c r="J70" s="30" t="str">
        <x:v>Authorization</x:v>
      </x:c>
      <x:c r="K70" s="30" t="str">
        <x:v>Critical</x:v>
      </x:c>
      <x:c r="L70" s="30" t="str">
        <x:v>06-Evidence/User-Management/TC-USER-007.png</x:v>
      </x:c>
      <x:c r="M70" s="30" t="str">
        <x:v>Formally re-executed on 2026-09-03; screenshot evidence captured. Final result: PASS.</x:v>
      </x:c>
    </x:row>
    <x:row r="71">
      <x:c r="A71" s="30" t="str">
        <x:v>TC-ALERT-001</x:v>
      </x:c>
      <x:c r="B71" s="30" t="str">
        <x:v>TS-ALERT-001</x:v>
      </x:c>
      <x:c r="C71" s="30" t="str">
        <x:v>Alerts</x:v>
      </x:c>
      <x:c r="D71" s="30" t="str">
        <x:v>User is authenticated; Alerts module/indicator is accessible.</x:v>
      </x:c>
      <x:c r="E71" s="30" t="str">
        <x:v>1. Prepare data that meets a configured alert condition.
2. Open/refresh Alerts.
3. Observe displayed alert.</x:v>
      </x:c>
      <x:c r="F71" s="30" t="str">
        <x:v>Inventory/test state that satisfies an alert condition</x:v>
      </x:c>
      <x:c r="G71" s="30" t="str">
        <x:v>An alert is displayed when the configured condition is met.</x:v>
      </x:c>
      <x:c r="H71" s="30" t="str">
        <x:v>Observed behavior matched the expected result: An alert is displayed when the configured condition is met.</x:v>
      </x:c>
      <x:c r="I71" s="30" t="str">
        <x:v>Pass</x:v>
      </x:c>
      <x:c r="J71" s="30" t="str">
        <x:v>Functional</x:v>
      </x:c>
      <x:c r="K71" s="30" t="str">
        <x:v>High</x:v>
      </x:c>
      <x:c r="L71" s="30" t="str">
        <x:v>06-Evidence/Alerts/TC-ALERT-001.png</x:v>
      </x:c>
      <x:c r="M71" s="30" t="str">
        <x:v>Formally re-executed on 2026-09-03; screenshot evidence captured. Final result: PASS.</x:v>
      </x:c>
    </x:row>
    <x:row r="72">
      <x:c r="A72" s="30" t="str">
        <x:v>TC-ALERT-002</x:v>
      </x:c>
      <x:c r="B72" s="30" t="str">
        <x:v>TS-ALERT-002</x:v>
      </x:c>
      <x:c r="C72" s="30" t="str">
        <x:v>Alerts</x:v>
      </x:c>
      <x:c r="D72" s="30" t="str">
        <x:v>User is authenticated; Alerts module/indicator is accessible.</x:v>
      </x:c>
      <x:c r="E72" s="30" t="str">
        <x:v>1. Record the inventory condition.
2. Open Alerts.
3. Open/read the related alert.
4. Compare alert details.</x:v>
      </x:c>
      <x:c r="F72" s="30" t="str">
        <x:v>Known inventory state triggering an alert</x:v>
      </x:c>
      <x:c r="G72" s="30" t="str">
        <x:v>Alert information accurately reflects the actual inventory condition.</x:v>
      </x:c>
      <x:c r="H72" s="30" t="str">
        <x:v>Observed behavior matched the expected result: Alert information accurately reflects the actual inventory condition.</x:v>
      </x:c>
      <x:c r="I72" s="30" t="str">
        <x:v>Pass</x:v>
      </x:c>
      <x:c r="J72" s="30" t="str">
        <x:v>Functional</x:v>
      </x:c>
      <x:c r="K72" s="30" t="str">
        <x:v>High</x:v>
      </x:c>
      <x:c r="L72" s="30" t="str">
        <x:v>06-Evidence/Alerts/TC-ALERT-002.png</x:v>
      </x:c>
      <x:c r="M72" s="30" t="str">
        <x:v>Formally re-executed on 2026-09-03; screenshot evidence captured. Final result: PASS.</x:v>
      </x:c>
    </x:row>
    <x:row r="73">
      <x:c r="A73" s="30" t="str">
        <x:v>TC-ALERT-003</x:v>
      </x:c>
      <x:c r="B73" s="30" t="str">
        <x:v>TS-ALERT-003</x:v>
      </x:c>
      <x:c r="C73" s="30" t="str">
        <x:v>Alerts</x:v>
      </x:c>
      <x:c r="D73" s="30" t="str">
        <x:v>User is authenticated; Alerts module/indicator is accessible.</x:v>
      </x:c>
      <x:c r="E73" s="30" t="str">
        <x:v>1. Prepare data outside alert conditions.
2. Open/refresh Alerts.
3. Observe displayed alerts.</x:v>
      </x:c>
      <x:c r="F73" s="30" t="str">
        <x:v>Inventory state that does not satisfy an alert condition</x:v>
      </x:c>
      <x:c r="G73" s="30" t="str">
        <x:v>No incorrect alert is shown for a condition that is not met.</x:v>
      </x:c>
      <x:c r="H73" s="30" t="str">
        <x:v>Observed behavior matched the expected result: No incorrect alert is shown for a condition that is not met.</x:v>
      </x:c>
      <x:c r="I73" s="30" t="str">
        <x:v>Pass</x:v>
      </x:c>
      <x:c r="J73" s="30" t="str">
        <x:v>Negative</x:v>
      </x:c>
      <x:c r="K73" s="30" t="str">
        <x:v>Medium</x:v>
      </x:c>
      <x:c r="L73" s="30" t="str">
        <x:v>06-Evidence/Alerts/TC-ALERT-003.png</x:v>
      </x:c>
      <x:c r="M73" s="30" t="str">
        <x:v>Formally re-executed on 2026-09-03; screenshot evidence captured. Final result: PASS.</x:v>
      </x:c>
    </x:row>
    <x:row r="74">
      <x:c r="A74" s="30" t="str">
        <x:v>TC-ANL-001</x:v>
      </x:c>
      <x:c r="B74" s="30" t="str">
        <x:v>TS-ANL-001</x:v>
      </x:c>
      <x:c r="C74" s="30" t="str">
        <x:v>Analysis</x:v>
      </x:c>
      <x:c r="D74" s="30" t="str">
        <x:v>User is authenticated and Analysis module is accessible.</x:v>
      </x:c>
      <x:c r="E74" s="30" t="str">
        <x:v>1. Open Analysis.
2. Wait for loading to complete.
3. Observe page.</x:v>
      </x:c>
      <x:c r="F74" s="30" t="str">
        <x:v>N/A</x:v>
      </x:c>
      <x:c r="G74" s="30" t="str">
        <x:v>Analysis page loads successfully.</x:v>
      </x:c>
      <x:c r="H74" s="30" t="str">
        <x:v>Observed behavior matched the expected result: Analysis page loads successfully.</x:v>
      </x:c>
      <x:c r="I74" s="30" t="str">
        <x:v>Pass</x:v>
      </x:c>
      <x:c r="J74" s="30" t="str">
        <x:v>Functional</x:v>
      </x:c>
      <x:c r="K74" s="30" t="str">
        <x:v>Medium</x:v>
      </x:c>
      <x:c r="L74" s="30" t="str">
        <x:v>06-Evidence/Analysis/TC-ANL-001.png</x:v>
      </x:c>
      <x:c r="M74" s="30" t="str">
        <x:v>Formally re-executed on 2026-09-03; screenshot evidence captured. Final result: PASS.</x:v>
      </x:c>
    </x:row>
    <x:row r="75">
      <x:c r="A75" s="30" t="str">
        <x:v>TC-ANL-002</x:v>
      </x:c>
      <x:c r="B75" s="30" t="str">
        <x:v>TS-ANL-002</x:v>
      </x:c>
      <x:c r="C75" s="30" t="str">
        <x:v>Analysis</x:v>
      </x:c>
      <x:c r="D75" s="30" t="str">
        <x:v>User is authenticated and Analysis module is accessible.</x:v>
      </x:c>
      <x:c r="E75" s="30" t="str">
        <x:v>1. Record relevant source data.
2. Open/run Analysis.
3. Observe the data used/output.
4. Compare with source data.</x:v>
      </x:c>
      <x:c r="F75" s="30" t="str">
        <x:v>Known application/inventory dataset</x:v>
      </x:c>
      <x:c r="G75" s="30" t="str">
        <x:v>Analysis is based on the available application data and does not use unrelated values.</x:v>
      </x:c>
      <x:c r="H75" s="30" t="str">
        <x:v>Observed behavior matched the expected result: Analysis is based on the available application data and does not use unrelated values.</x:v>
      </x:c>
      <x:c r="I75" s="30" t="str">
        <x:v>Pass</x:v>
      </x:c>
      <x:c r="J75" s="30" t="str">
        <x:v>Functional</x:v>
      </x:c>
      <x:c r="K75" s="30" t="str">
        <x:v>High</x:v>
      </x:c>
      <x:c r="L75" s="30" t="str">
        <x:v>06-Evidence/Analysis/TC-ANL-002.png</x:v>
      </x:c>
      <x:c r="M75" s="30" t="str">
        <x:v>Formally re-executed on 2026-09-03; screenshot evidence captured. Final result: PASS.</x:v>
      </x:c>
    </x:row>
    <x:row r="76">
      <x:c r="A76" s="30" t="str">
        <x:v>TC-ANL-003</x:v>
      </x:c>
      <x:c r="B76" s="30" t="str">
        <x:v>TS-ANL-003</x:v>
      </x:c>
      <x:c r="C76" s="30" t="str">
        <x:v>Analysis</x:v>
      </x:c>
      <x:c r="D76" s="30" t="str">
        <x:v>User is authenticated and Analysis module is accessible.</x:v>
      </x:c>
      <x:c r="E76" s="30" t="str">
        <x:v>1. Open Analysis with sufficient data.
2. Run/refresh analysis if action exists.
3. Observe output.</x:v>
      </x:c>
      <x:c r="F76" s="30" t="str">
        <x:v>Sufficient data for analysis</x:v>
      </x:c>
      <x:c r="G76" s="30" t="str">
        <x:v>Analysis result is displayed successfully and is readable.</x:v>
      </x:c>
      <x:c r="H76" s="30" t="str">
        <x:v>Observed behavior matched the expected result: Analysis result is displayed successfully and is readable.</x:v>
      </x:c>
      <x:c r="I76" s="30" t="str">
        <x:v>Pass</x:v>
      </x:c>
      <x:c r="J76" s="30" t="str">
        <x:v>Functional</x:v>
      </x:c>
      <x:c r="K76" s="30" t="str">
        <x:v>High</x:v>
      </x:c>
      <x:c r="L76" s="30" t="str">
        <x:v>06-Evidence/Analysis/TC-ANL-003.png</x:v>
      </x:c>
      <x:c r="M76" s="30" t="str">
        <x:v>Formally re-executed on 2026-09-03; screenshot evidence captured. Final result: PASS.</x:v>
      </x:c>
    </x:row>
    <x:row r="77">
      <x:c r="A77" s="30" t="str">
        <x:v>TC-ANL-004</x:v>
      </x:c>
      <x:c r="B77" s="30" t="str">
        <x:v>TS-ANL-004</x:v>
      </x:c>
      <x:c r="C77" s="30" t="str">
        <x:v>Analysis</x:v>
      </x:c>
      <x:c r="D77" s="30" t="str">
        <x:v>User is authenticated and Analysis module is accessible.</x:v>
      </x:c>
      <x:c r="E77" s="30" t="str">
        <x:v>1. Prepare/select a state with insufficient data.
2. Open/run Analysis.
3. Observe behavior.</x:v>
      </x:c>
      <x:c r="F77" s="30" t="str">
        <x:v>Insufficient or minimal data for analysis</x:v>
      </x:c>
      <x:c r="G77" s="30" t="str">
        <x:v>The application handles insufficient data safely, with an appropriate empty/insufficient-data response rather than crashing.</x:v>
      </x:c>
      <x:c r="H77" s="30" t="str">
        <x:v>Observed behavior matched the expected result: The application handles insufficient data safely, with an appropriate empty/insufficient-data response rather than crashing.</x:v>
      </x:c>
      <x:c r="I77" s="30" t="str">
        <x:v>Pass</x:v>
      </x:c>
      <x:c r="J77" s="30" t="str">
        <x:v>Negative</x:v>
      </x:c>
      <x:c r="K77" s="30" t="str">
        <x:v>Medium</x:v>
      </x:c>
      <x:c r="L77" s="30" t="str">
        <x:v>06-Evidence/Analysis/TC-ANL-004.png</x:v>
      </x:c>
      <x:c r="M77" s="30" t="str">
        <x:v>Formally re-executed on 2026-09-03; screenshot evidence captured. Final result: PASS.</x:v>
      </x:c>
    </x:row>
    <x:row r="78">
      <x:c r="A78" s="30" t="str">
        <x:v>TC-NAV-001</x:v>
      </x:c>
      <x:c r="B78" s="30" t="str">
        <x:v>TS-NAV-001</x:v>
      </x:c>
      <x:c r="C78" s="30" t="str">
        <x:v>Navigation</x:v>
      </x:c>
      <x:c r="D78" s="30" t="str">
        <x:v>User is authenticated and the main application navigation is available.</x:v>
      </x:c>
      <x:c r="E78" s="30" t="str">
        <x:v>1. From the main screen, open each available module one at a time.
2. Verify destination.
3. Return and repeat.</x:v>
      </x:c>
      <x:c r="F78" s="30" t="str">
        <x:v>N/A</x:v>
      </x:c>
      <x:c r="G78" s="30" t="str">
        <x:v>Navigation opens the correct module for each selected menu/action.</x:v>
      </x:c>
      <x:c r="H78" s="30" t="str">
        <x:v>Observed behavior matched the expected result: Navigation opens the correct module for each selected menu/action.</x:v>
      </x:c>
      <x:c r="I78" s="30" t="str">
        <x:v>Pass</x:v>
      </x:c>
      <x:c r="J78" s="30" t="str">
        <x:v>Functional</x:v>
      </x:c>
      <x:c r="K78" s="30" t="str">
        <x:v>High</x:v>
      </x:c>
      <x:c r="L78" s="30" t="str">
        <x:v>06-Evidence/Navigation/TC-NAV-001.png</x:v>
      </x:c>
      <x:c r="M78" s="30" t="str">
        <x:v>Formally re-executed on 2026-09-03; screenshot evidence captured. Final result: PASS.</x:v>
      </x:c>
    </x:row>
    <x:row r="79">
      <x:c r="A79" s="30" t="str">
        <x:v>TC-NAV-002</x:v>
      </x:c>
      <x:c r="B79" s="30" t="str">
        <x:v>TS-NAV-002</x:v>
      </x:c>
      <x:c r="C79" s="30" t="str">
        <x:v>Navigation</x:v>
      </x:c>
      <x:c r="D79" s="30" t="str">
        <x:v>User is authenticated and the main application navigation is available.</x:v>
      </x:c>
      <x:c r="E79" s="30" t="str">
        <x:v>1. Open a secondary/detail page.
2. Use back navigation.
3. Repeat on representative modules.</x:v>
      </x:c>
      <x:c r="F79" s="30" t="str">
        <x:v>N/A</x:v>
      </x:c>
      <x:c r="G79" s="30" t="str">
        <x:v>Back navigation returns to the correct previous page without unexpected state loss/crash.</x:v>
      </x:c>
      <x:c r="H79" s="30" t="str">
        <x:v>Observed behavior matched the expected result: Back navigation returns to the correct previous page without unexpected state loss/crash.</x:v>
      </x:c>
      <x:c r="I79" s="30" t="str">
        <x:v>Pass</x:v>
      </x:c>
      <x:c r="J79" s="30" t="str">
        <x:v>Functional</x:v>
      </x:c>
      <x:c r="K79" s="30" t="str">
        <x:v>Medium</x:v>
      </x:c>
      <x:c r="L79" s="30" t="str">
        <x:v>06-Evidence/Navigation/TC-NAV-002.png</x:v>
      </x:c>
      <x:c r="M79" s="30" t="str">
        <x:v>Formally re-executed on 2026-09-03; screenshot evidence captured. Final result: PASS.</x:v>
      </x:c>
    </x:row>
    <x:row r="80">
      <x:c r="A80" s="30" t="str">
        <x:v>TC-NAV-003</x:v>
      </x:c>
      <x:c r="B80" s="30" t="str">
        <x:v>TS-NAV-003</x:v>
      </x:c>
      <x:c r="C80" s="30" t="str">
        <x:v>Navigation</x:v>
      </x:c>
      <x:c r="D80" s="30" t="str">
        <x:v>User is authenticated and the main application navigation is available.</x:v>
      </x:c>
      <x:c r="E80" s="30" t="str">
        <x:v>1. Navigate repeatedly across representative modules.
2. Open and close detail/forms.
3. Observe stability.</x:v>
      </x:c>
      <x:c r="F80" s="30" t="str">
        <x:v>N/A</x:v>
      </x:c>
      <x:c r="G80" s="30" t="str">
        <x:v>The application does not crash during normal navigation flow.</x:v>
      </x:c>
      <x:c r="H80" s="30" t="str">
        <x:v>Observed behavior matched the expected result: The application does not crash during normal navigation flow.</x:v>
      </x:c>
      <x:c r="I80" s="30" t="str">
        <x:v>Pass</x:v>
      </x:c>
      <x:c r="J80" s="30" t="str">
        <x:v>Stability</x:v>
      </x:c>
      <x:c r="K80" s="30" t="str">
        <x:v>Critical</x:v>
      </x:c>
      <x:c r="L80" s="30" t="str">
        <x:v>06-Evidence/Navigation/TC-NAV-003.png</x:v>
      </x:c>
      <x:c r="M80" s="30" t="str">
        <x:v>Formally re-executed on 2026-09-03; screenshot evidence captured. Final result: PASS.</x:v>
      </x:c>
    </x:row>
    <x:row r="81">
      <x:c r="A81" s="30" t="str">
        <x:v>TC-NAV-004</x:v>
      </x:c>
      <x:c r="B81" s="30" t="str">
        <x:v>TS-NAV-004</x:v>
      </x:c>
      <x:c r="C81" s="30" t="str">
        <x:v>Navigation</x:v>
      </x:c>
      <x:c r="D81" s="30" t="str">
        <x:v>User is authenticated and the main application navigation is available.</x:v>
      </x:c>
      <x:c r="E81" s="30" t="str">
        <x:v>1. Open a page that loads remote/data content.
2. Observe the page before data completes.
3. Wait for completion.</x:v>
      </x:c>
      <x:c r="F81" s="30" t="str">
        <x:v>Normal data load</x:v>
      </x:c>
      <x:c r="G81" s="30" t="str">
        <x:v>A safe loading state is presented and the page transitions to content without UI failure.</x:v>
      </x:c>
      <x:c r="H81" s="30" t="str">
        <x:v>Observed behavior matched the expected result: A safe loading state is presented and the page transitions to content without UI failure.</x:v>
      </x:c>
      <x:c r="I81" s="30" t="str">
        <x:v>Pass</x:v>
      </x:c>
      <x:c r="J81" s="30" t="str">
        <x:v>Functional</x:v>
      </x:c>
      <x:c r="K81" s="30" t="str">
        <x:v>Medium</x:v>
      </x:c>
      <x:c r="L81" s="30" t="str">
        <x:v>06-Evidence/Navigation/TC-NAV-004.png</x:v>
      </x:c>
      <x:c r="M81" s="30" t="str">
        <x:v>Formally re-executed on 2026-09-03; screenshot evidence captured. Final result: PASS.</x:v>
      </x:c>
    </x:row>
    <x:row r="82">
      <x:c r="A82" s="30" t="str">
        <x:v>TC-NAV-005</x:v>
      </x:c>
      <x:c r="B82" s="30" t="str">
        <x:v>TS-NAV-005</x:v>
      </x:c>
      <x:c r="C82" s="30" t="str">
        <x:v>Navigation</x:v>
      </x:c>
      <x:c r="D82" s="30" t="str">
        <x:v>User is authenticated and the main application navigation is available.</x:v>
      </x:c>
      <x:c r="E82" s="30" t="str">
        <x:v>1. Open a data-dependent page while connected.
2. Temporarily disable/interfere with network connectivity.
3. Retry/open a data-dependent action.
4. Restore connection and retry.</x:v>
      </x:c>
      <x:c r="F82" s="30" t="str">
        <x:v>Temporary network interruption</x:v>
      </x:c>
      <x:c r="G82" s="30" t="str">
        <x:v>Temporary connection failure is handled safely; the app does not crash and can recover/retry after connectivity returns.</x:v>
      </x:c>
      <x:c r="H82" s="30" t="str">
        <x:v>Observed behavior matched the expected result: Temporary connection failure is handled safely; the app does not crash and can recover/retry after connectivity returns.</x:v>
      </x:c>
      <x:c r="I82" s="30" t="str">
        <x:v>Pass</x:v>
      </x:c>
      <x:c r="J82" s="30" t="str">
        <x:v>Negative</x:v>
      </x:c>
      <x:c r="K82" s="30" t="str">
        <x:v>High</x:v>
      </x:c>
      <x:c r="L82" s="30" t="str">
        <x:v>06-Evidence/Navigation/TC-NAV-005.png</x:v>
      </x:c>
      <x:c r="M82" s="30" t="str">
        <x:v>Formally re-executed on 2026-09-03; screenshot evidence captured. Final result: PASS.</x:v>
      </x:c>
    </x:row>
  </x:sheetData>
  <x:mergeCells>
    <x:mergeCell ref="A1:M1"/>
    <x:mergeCell ref="A2:M2"/>
  </x:mergeCells>
  <x:conditionalFormatting sqref="K5:K82">
    <x:cfRule type="expression" dxfId="4" priority="5">
      <x:formula>K5="Critical"</x:formula>
    </x:cfRule>
    <x:cfRule type="expression" dxfId="5" priority="6">
      <x:formula>K5="High"</x:formula>
    </x:cfRule>
    <x:cfRule type="expression" dxfId="6" priority="7">
      <x:formula>K5="Medium"</x:formula>
    </x:cfRule>
  </x:conditionalFormatting>
  <x:conditionalFormatting sqref="I5:I82">
    <x:cfRule type="expression" dxfId="7" priority="8">
      <x:formula>I5="Pass"</x:formula>
    </x:cfRule>
    <x:cfRule type="expression" dxfId="8" priority="9">
      <x:formula>I5="Fail"</x:formula>
    </x:cfRule>
    <x:cfRule type="expression" dxfId="9" priority="10">
      <x:formula>I5="Blocked"</x:formula>
    </x:cfRule>
  </x:conditionalFormatting>
  <x:dataValidations count="1">
    <x:dataValidation type="list" sqref="I5:I82">
      <x:formula1>"Pass,Fail,Blocked,Not Executed"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97b6aed3cc400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3" max="3" width="42" hidden="0" customWidth="1"/>
    <x:col min="4" max="4" width="20" hidden="0" customWidth="1"/>
    <x:col min="5" max="5" width="14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Toko Abunawas QA Execution Summary</x:v>
      </x:c>
      <x:c r="B1" s="5"/>
      <x:c r="C1" s="5"/>
      <x:c r="D1" s="5"/>
      <x:c r="E1" s="5"/>
      <x:c r="F1" s="5"/>
      <x:c r="G1" s="5"/>
      <x:c r="H1" s="5"/>
    </x:row>
    <x:row r="3">
      <x:c r="A3" s="21" t="str">
        <x:v>KPI</x:v>
      </x:c>
      <x:c r="B3" s="21" t="str">
        <x:v>Value</x:v>
      </x:c>
      <x:c r="C3" s="28"/>
      <x:c r="D3" s="21" t="str">
        <x:v>Priority</x:v>
      </x:c>
      <x:c r="E3" s="21" t="str">
        <x:v>Count</x:v>
      </x:c>
    </x:row>
    <x:row r="4">
      <x:c r="A4" s="28" t="str">
        <x:v>Total Test Cases</x:v>
      </x:c>
      <x:c r="B4" s="28" t="n">
        <x:f>COUNTA('Test Cases'!A5:A82)</x:f>
        <x:v>78</x:v>
      </x:c>
      <x:c r="C4" s="28"/>
      <x:c r="D4" s="28" t="str">
        <x:v>Critical</x:v>
      </x:c>
      <x:c r="E4" s="28" t="n">
        <x:f>COUNTIF('Test Cases'!K5:K82,"Critical")</x:f>
        <x:v>22</x:v>
      </x:c>
    </x:row>
    <x:row r="5">
      <x:c r="A5" s="28" t="str">
        <x:v>Pass</x:v>
      </x:c>
      <x:c r="B5" s="28" t="n">
        <x:f>COUNTIF('Test Cases'!I5:I82,"Pass")</x:f>
        <x:v>78</x:v>
      </x:c>
      <x:c r="C5" s="28"/>
      <x:c r="D5" s="28" t="str">
        <x:v>High</x:v>
      </x:c>
      <x:c r="E5" s="28" t="n">
        <x:f>COUNTIF('Test Cases'!K5:K82,"High")</x:f>
        <x:v>44</x:v>
      </x:c>
    </x:row>
    <x:row r="6">
      <x:c r="A6" s="28" t="str">
        <x:v>Fail</x:v>
      </x:c>
      <x:c r="B6" s="28" t="n">
        <x:f>COUNTIF('Test Cases'!I5:I82,"Fail")</x:f>
        <x:v>0</x:v>
      </x:c>
      <x:c r="C6" s="28"/>
      <x:c r="D6" s="28" t="str">
        <x:v>Medium</x:v>
      </x:c>
      <x:c r="E6" s="28" t="n">
        <x:f>COUNTIF('Test Cases'!K5:K82,"Medium")</x:f>
        <x:v>12</x:v>
      </x:c>
    </x:row>
    <x:row r="7">
      <x:c r="A7" s="28" t="str">
        <x:v>Blocked</x:v>
      </x:c>
      <x:c r="B7" s="28" t="n">
        <x:f>COUNTIF('Test Cases'!I5:I82,"Blocked")</x:f>
        <x:v>0</x:v>
      </x:c>
      <x:c r="C7" s="28"/>
      <x:c r="D7" s="28" t="str">
        <x:v>Low</x:v>
      </x:c>
      <x:c r="E7" s="28" t="n">
        <x:f>COUNTIF('Test Cases'!K5:K82,"Low")</x:f>
        <x:v>0</x:v>
      </x:c>
    </x:row>
    <x:row r="8">
      <x:c r="A8" s="28" t="str">
        <x:v>Not Executed</x:v>
      </x:c>
      <x:c r="B8" s="28" t="n">
        <x:f>COUNTIF('Test Cases'!I5:I82,"Not Executed")</x:f>
        <x:v>0</x:v>
      </x:c>
      <x:c r="C8" s="28"/>
      <x:c r="D8" s="28"/>
      <x:c r="E8" s="28"/>
    </x:row>
    <x:row r="9">
      <x:c r="A9" s="28" t="str">
        <x:v>Execution Progress</x:v>
      </x:c>
      <x:c r="B9" s="44" t="n">
        <x:f>IFERROR((B5+B6+B7)/B4,0)</x:f>
        <x:v>1</x:v>
      </x:c>
      <x:c r="C9" s="28"/>
      <x:c r="D9" s="28"/>
      <x:c r="E9" s="28"/>
    </x:row>
    <x:row r="10">
      <x:c r="A10" s="28" t="str">
        <x:v>Pass Rate (Executed)</x:v>
      </x:c>
      <x:c r="B10" s="44" t="n">
        <x:f>IFERROR(B5/(B5+B6),0)</x:f>
        <x:v>1</x:v>
      </x:c>
      <x:c r="C10" s="28"/>
      <x:c r="D10" s="28"/>
      <x:c r="E10" s="28"/>
    </x:row>
    <x:row r="11">
      <x:c r="A11" s="28"/>
      <x:c r="B11" s="28"/>
      <x:c r="C11" s="28"/>
      <x:c r="D11" s="28"/>
      <x:c r="E11" s="28"/>
    </x:row>
    <x:row r="12">
      <x:c r="A12" s="28"/>
      <x:c r="B12" s="28"/>
      <x:c r="C12" s="28"/>
      <x:c r="D12" s="28"/>
      <x:c r="E12" s="28"/>
    </x:row>
    <x:row r="13">
      <x:c r="A13" s="21" t="str">
        <x:v>Module</x:v>
      </x:c>
      <x:c r="B13" s="21" t="str">
        <x:v>Total Cases</x:v>
      </x:c>
      <x:c r="C13" s="21" t="str">
        <x:v>Execution note:
• All 78 test cases were formally re-executed by the tester on 2026-09-03.
• Every observed result matched its expected result.
• Final status: 78 PASS, 0 FAIL, 0 BLOCKED, 0 NOT EXECUTED.
• Screenshot evidence is referenced by Test Case ID under 06-Evidence/.</x:v>
      </x:c>
      <x:c r="D13" s="39"/>
      <x:c r="E13" s="39"/>
      <x:c r="F13" s="39"/>
      <x:c r="G13" s="39"/>
      <x:c r="H13" s="39"/>
    </x:row>
    <x:row r="14">
      <x:c r="A14" s="28" t="str">
        <x:v>Authentication</x:v>
      </x:c>
      <x:c r="B14" s="28" t="n">
        <x:f>COUNTIF('Test Cases'!C5:C82,"Authentication")</x:f>
        <x:v>10</x:v>
      </x:c>
      <x:c r="C14" s="28" t="n">
        <x:f>COUNTIFS('Test Cases'!C5:C82,"Authentication",'Test Cases'!I5:I82,"&lt;&gt;Not Executed")</x:f>
        <x:v>10</x:v>
      </x:c>
      <x:c r="D14" s="39"/>
      <x:c r="E14" s="39"/>
      <x:c r="F14" s="39"/>
      <x:c r="G14" s="39"/>
      <x:c r="H14" s="39"/>
    </x:row>
    <x:row r="15">
      <x:c r="A15" s="28" t="str">
        <x:v>Dashboard</x:v>
      </x:c>
      <x:c r="B15" s="28" t="n">
        <x:f>COUNTIF('Test Cases'!C5:C82,"Dashboard")</x:f>
        <x:v>5</x:v>
      </x:c>
      <x:c r="C15" s="28" t="n">
        <x:f>COUNTIFS('Test Cases'!C5:C82,"Dashboard",'Test Cases'!I5:I82,"&lt;&gt;Not Executed")</x:f>
        <x:v>5</x:v>
      </x:c>
      <x:c r="D15" s="39"/>
      <x:c r="E15" s="39"/>
      <x:c r="F15" s="39"/>
      <x:c r="G15" s="39"/>
      <x:c r="H15" s="39"/>
    </x:row>
    <x:row r="16">
      <x:c r="A16" s="28" t="str">
        <x:v>Product Management</x:v>
      </x:c>
      <x:c r="B16" s="28" t="n">
        <x:f>COUNTIF('Test Cases'!C5:C82,"Product Management")</x:f>
        <x:v>10</x:v>
      </x:c>
      <x:c r="C16" s="28" t="n">
        <x:f>COUNTIFS('Test Cases'!C5:C82,"Product Management",'Test Cases'!I5:I82,"&lt;&gt;Not Executed")</x:f>
        <x:v>10</x:v>
      </x:c>
      <x:c r="D16" s="39"/>
      <x:c r="E16" s="39"/>
      <x:c r="F16" s="39"/>
      <x:c r="G16" s="39"/>
      <x:c r="H16" s="39"/>
    </x:row>
    <x:row r="17">
      <x:c r="A17" s="28" t="str">
        <x:v>Stock In</x:v>
      </x:c>
      <x:c r="B17" s="28" t="n">
        <x:f>COUNTIF('Test Cases'!C5:C82,"Stock In")</x:f>
        <x:v>9</x:v>
      </x:c>
      <x:c r="C17" s="28" t="n">
        <x:f>COUNTIFS('Test Cases'!C5:C82,"Stock In",'Test Cases'!I5:I82,"&lt;&gt;Not Executed")</x:f>
        <x:v>9</x:v>
      </x:c>
      <x:c r="D17" s="39"/>
      <x:c r="E17" s="39"/>
      <x:c r="F17" s="39"/>
      <x:c r="G17" s="39"/>
      <x:c r="H17" s="39"/>
    </x:row>
    <x:row r="18">
      <x:c r="A18" s="28" t="str">
        <x:v>Stock Out</x:v>
      </x:c>
      <x:c r="B18" s="28" t="n">
        <x:f>COUNTIF('Test Cases'!C5:C82,"Stock Out")</x:f>
        <x:v>10</x:v>
      </x:c>
      <x:c r="C18" s="28" t="n">
        <x:f>COUNTIFS('Test Cases'!C5:C82,"Stock Out",'Test Cases'!I5:I82,"&lt;&gt;Not Executed")</x:f>
        <x:v>10</x:v>
      </x:c>
      <x:c r="D18" s="39"/>
      <x:c r="E18" s="39"/>
      <x:c r="F18" s="39"/>
      <x:c r="G18" s="39"/>
      <x:c r="H18" s="39"/>
    </x:row>
    <x:row r="19">
      <x:c r="A19" s="28" t="str">
        <x:v>Scanner</x:v>
      </x:c>
      <x:c r="B19" s="28" t="n">
        <x:f>COUNTIF('Test Cases'!C5:C82,"Scanner")</x:f>
        <x:v>5</x:v>
      </x:c>
      <x:c r="C19" s="28" t="n">
        <x:f>COUNTIFS('Test Cases'!C5:C82,"Scanner",'Test Cases'!I5:I82,"&lt;&gt;Not Executed")</x:f>
        <x:v>5</x:v>
      </x:c>
      <x:c r="D19" s="28"/>
      <x:c r="E19" s="28"/>
    </x:row>
    <x:row r="20">
      <x:c r="A20" s="28" t="str">
        <x:v>History</x:v>
      </x:c>
      <x:c r="B20" s="28" t="n">
        <x:f>COUNTIF('Test Cases'!C5:C82,"History")</x:f>
        <x:v>5</x:v>
      </x:c>
      <x:c r="C20" s="28" t="n">
        <x:f>COUNTIFS('Test Cases'!C5:C82,"History",'Test Cases'!I5:I82,"&lt;&gt;Not Executed")</x:f>
        <x:v>5</x:v>
      </x:c>
      <x:c r="D20" s="28"/>
      <x:c r="E20" s="28"/>
    </x:row>
    <x:row r="21">
      <x:c r="A21" s="28" t="str">
        <x:v>Reports</x:v>
      </x:c>
      <x:c r="B21" s="28" t="n">
        <x:f>COUNTIF('Test Cases'!C5:C82,"Reports")</x:f>
        <x:v>5</x:v>
      </x:c>
      <x:c r="C21" s="28" t="n">
        <x:f>COUNTIFS('Test Cases'!C5:C82,"Reports",'Test Cases'!I5:I82,"&lt;&gt;Not Executed")</x:f>
        <x:v>5</x:v>
      </x:c>
      <x:c r="D21" s="28"/>
      <x:c r="E21" s="28"/>
    </x:row>
    <x:row r="22">
      <x:c r="A22" s="28" t="str">
        <x:v>User Management</x:v>
      </x:c>
      <x:c r="B22" s="28" t="n">
        <x:f>COUNTIF('Test Cases'!C5:C82,"User Management")</x:f>
        <x:v>7</x:v>
      </x:c>
      <x:c r="C22" s="28" t="n">
        <x:f>COUNTIFS('Test Cases'!C5:C82,"User Management",'Test Cases'!I5:I82,"&lt;&gt;Not Executed")</x:f>
        <x:v>7</x:v>
      </x:c>
      <x:c r="D22" s="28"/>
      <x:c r="E22" s="28"/>
    </x:row>
    <x:row r="23">
      <x:c r="A23" s="28" t="str">
        <x:v>Alerts</x:v>
      </x:c>
      <x:c r="B23" s="28" t="n">
        <x:f>COUNTIF('Test Cases'!C5:C82,"Alerts")</x:f>
        <x:v>3</x:v>
      </x:c>
      <x:c r="C23" s="28" t="n">
        <x:f>COUNTIFS('Test Cases'!C5:C82,"Alerts",'Test Cases'!I5:I82,"&lt;&gt;Not Executed")</x:f>
        <x:v>3</x:v>
      </x:c>
      <x:c r="D23" s="28"/>
      <x:c r="E23" s="28"/>
    </x:row>
    <x:row r="24">
      <x:c r="A24" s="28" t="str">
        <x:v>Analysis</x:v>
      </x:c>
      <x:c r="B24" s="28" t="n">
        <x:f>COUNTIF('Test Cases'!C5:C82,"Analysis")</x:f>
        <x:v>4</x:v>
      </x:c>
      <x:c r="C24" s="28" t="n">
        <x:f>COUNTIFS('Test Cases'!C5:C82,"Analysis",'Test Cases'!I5:I82,"&lt;&gt;Not Executed")</x:f>
        <x:v>4</x:v>
      </x:c>
      <x:c r="D24" s="28"/>
      <x:c r="E24" s="28"/>
    </x:row>
    <x:row r="25">
      <x:c r="A25" s="28" t="str">
        <x:v>Navigation</x:v>
      </x:c>
      <x:c r="B25" s="28" t="n">
        <x:f>COUNTIF('Test Cases'!C5:C82,"Navigation")</x:f>
        <x:v>5</x:v>
      </x:c>
      <x:c r="C25" s="28" t="n">
        <x:f>COUNTIFS('Test Cases'!C5:C82,"Navigation",'Test Cases'!I5:I82,"&lt;&gt;Not Executed")</x:f>
        <x:v>5</x:v>
      </x:c>
      <x:c r="D25" s="28"/>
      <x:c r="E25" s="28"/>
    </x:row>
    <x:row r="27">
      <x:c r="A27" s="21" t="str">
        <x:v>Reference</x:v>
      </x:c>
      <x:c r="B27" s="21" t="str">
        <x:v>Value</x:v>
      </x:c>
    </x:row>
    <x:row r="28">
      <x:c r="A28" s="28" t="str">
        <x:v>Source Repository</x:v>
      </x:c>
      <x:c r="B28" s="28" t="str">
        <x:v>https://github.com/Bayusukmoadji/toko_abunawas_apk</x:v>
      </x:c>
    </x:row>
    <x:row r="29">
      <x:c r="A29" s="28" t="str">
        <x:v>Scenario Workbook</x:v>
      </x:c>
      <x:c r="B29" s="28" t="str">
        <x:v>Test_Scenarios.xlsx</x:v>
      </x:c>
    </x:row>
    <x:row r="30">
      <x:c r="A30" s="28" t="str">
        <x:v>Prepared For</x:v>
      </x:c>
      <x:c r="B30" s="28" t="str">
        <x:v>Software Quality Assurance Portfolio</x:v>
      </x:c>
    </x:row>
    <x:row r="31">
      <x:c r="A31" t="str">
        <x:v>Execution Date</x:v>
      </x:c>
      <x:c r="B31" t="str">
        <x:v>2026-09-03</x:v>
      </x:c>
    </x:row>
    <x:row r="32">
      <x:c r="A32" t="str">
        <x:v>Final Result</x:v>
      </x:c>
      <x:c r="B32" t="str">
        <x:v>PASSED — 78/78 test cases</x:v>
      </x:c>
    </x:row>
  </x:sheetData>
  <x:mergeCells>
    <x:mergeCell ref="A1:H1"/>
    <x:mergeCell ref="D13:H18"/>
  </x:mergeCells>
  <x:pageMargins left="0.7" right="0.7" top="0.75" bottom="0.75" header="0.3" footer="0.3"/>
  <x:drawing xmlns:r="http://schemas.openxmlformats.org/officeDocument/2006/relationships" r:id="R6b740f9ebc874b24"/>
</x:worksheet>
</file>